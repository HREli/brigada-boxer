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Cronograma DDS" sheetId="2" state="visible" r:id="rId4"/>
    <sheet name="Banco de temas" sheetId="3" state="visible" r:id="rId5"/>
    <sheet name="Lista de presença" sheetId="4" state="visible" r:id="rId6"/>
  </sheets>
  <definedNames>
    <definedName function="false" hidden="false" localSheetId="1" name="_xlnm.Print_Titles" vbProcedure="false">'Cronograma DDS'!$4:$4</definedName>
    <definedName function="false" hidden="true" localSheetId="1" name="_xlnm._FilterDatabase" vbProcedure="false">'Cronograma DDS'!$A$4:$M$14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<sst xmlns="http://schemas.openxmlformats.org/spreadsheetml/2006/main" count="164" uniqueCount="123">
  <si>
    <t xml:space="preserve">BRIGADA DE INCÊNDIO — Cronograma de DDS</t>
  </si>
  <si>
    <t xml:space="preserve">Gestão 2026/2027 · PROPOSTA para validação com o coordenador e os líderes</t>
  </si>
  <si>
    <t xml:space="preserve">O que é</t>
  </si>
  <si>
    <t xml:space="preserve">DDS (Diálogo Diário de Segurança) da Brigada: uma conversa curta, de 10 a 15 minutos, com um tema por mês, conduzida pelos líderes de andar com as pessoas do seu andar.</t>
  </si>
  <si>
    <t xml:space="preserve">Ordem dos temas</t>
  </si>
  <si>
    <t xml:space="preserve">Começa pelo tema definido na Reunião de Líderes de 06/10/2026 (obstrução de extintor na operação) e segue uma sequência lógica: extintores → trabalho a quente → rotas de fuga → hidrantes → abandono (antes do simulado de maio) → primeiros socorros → elétrica → inflamáveis → encerramento.</t>
  </si>
  <si>
    <t xml:space="preserve">Situação</t>
  </si>
  <si>
    <t xml:space="preserve">P = previsto · R = realizado · A = adiado · C = cancelado. Escolha na lista da coluna Situação.</t>
  </si>
  <si>
    <t xml:space="preserve">O que preencher</t>
  </si>
  <si>
    <t xml:space="preserve">Data realizada, Facilitador, Situação e Nº de participantes depois de cada DDS. Os totais são calculados sozinhos.</t>
  </si>
  <si>
    <t xml:space="preserve">Comprovação</t>
  </si>
  <si>
    <t xml:space="preserve">Use a aba "Lista de presença" (imprima uma por andar a cada DDS) e guarde as folhas assinadas.</t>
  </si>
  <si>
    <t xml:space="preserve">Temas reserva</t>
  </si>
  <si>
    <t xml:space="preserve">A aba "Banco de temas" tem sugestões para trocar ou acrescentar temas.</t>
  </si>
  <si>
    <t xml:space="preserve">Atenção</t>
  </si>
  <si>
    <t xml:space="preserve">O conteúdo é um roteiro de apoio. Para primeiros socorros e uso de equipamentos, valide com os socorristas e combatentes da brigada e com o material do treinamento.</t>
  </si>
  <si>
    <t xml:space="preserve">CRONOGRAMA DE DDS DA BRIGADA — GESTÃO 2026/2027</t>
  </si>
  <si>
    <t xml:space="preserve">Um tema por mês · 10 a 15 minutos · conduzido pelos líderes de andar</t>
  </si>
  <si>
    <t xml:space="preserve">Nº</t>
  </si>
  <si>
    <t xml:space="preserve">Mês</t>
  </si>
  <si>
    <t xml:space="preserve">Tema</t>
  </si>
  <si>
    <t xml:space="preserve">Objetivo</t>
  </si>
  <si>
    <t xml:space="preserve">Roteiro (pontos-chave)</t>
  </si>
  <si>
    <t xml:space="preserve">Material de apoio</t>
  </si>
  <si>
    <t xml:space="preserve">Público</t>
  </si>
  <si>
    <t xml:space="preserve">Facilitador</t>
  </si>
  <si>
    <t xml:space="preserve">Duração</t>
  </si>
  <si>
    <t xml:space="preserve">Data realizada</t>
  </si>
  <si>
    <t xml:space="preserve">Nº participantes</t>
  </si>
  <si>
    <t xml:space="preserve">Observação</t>
  </si>
  <si>
    <t xml:space="preserve">Nov/26</t>
  </si>
  <si>
    <t xml:space="preserve">Extintor desobstruído na operação</t>
  </si>
  <si>
    <t xml:space="preserve">Garantir que todos os extintores fiquem visíveis e com acesso livre o tempo todo.</t>
  </si>
  <si>
    <t xml:space="preserve">• Por que o acesso livre salva tempo numa emergência (segundos contam)
• Não encostar materiais, paletes, carrinhos ou peças na frente do extintor
• Sinalização no chão e na parede: respeitar a área demarcada
• Viu um extintor obstruído? Desobstrua ou avise o líder de andar na hora</t>
  </si>
  <si>
    <t xml:space="preserve">Fotos de um extintor obstruído x livre na própria área</t>
  </si>
  <si>
    <t xml:space="preserve">Todos os andares</t>
  </si>
  <si>
    <t xml:space="preserve">Líderes de andar</t>
  </si>
  <si>
    <t xml:space="preserve">10–15 min</t>
  </si>
  <si>
    <t xml:space="preserve">P</t>
  </si>
  <si>
    <t xml:space="preserve">Tema definido na Reunião de Líderes de 06/10/2026.</t>
  </si>
  <si>
    <t xml:space="preserve">Dez/26</t>
  </si>
  <si>
    <t xml:space="preserve">Tipos de extintor e classes de fogo</t>
  </si>
  <si>
    <t xml:space="preserve">Saber escolher o extintor certo para cada tipo de fogo.</t>
  </si>
  <si>
    <t xml:space="preserve">• Classes de fogo: A (sólidos), B (líquidos), C (equipamentos energizados), D (metais), K (óleo de cozinha)
• Extintores do prédio: água, pó químico (PQS) e CO₂ — onde estão e para que servem
• Como usar: puxar o lacre, apontar para a base do fogo, apertar o gatilho, varrer
• Só combater princípio de incêndio; se crescer, abandonar e acionar a brigada</t>
  </si>
  <si>
    <t xml:space="preserve">Um extintor de cada tipo para mostrar (sem disparar)</t>
  </si>
  <si>
    <t xml:space="preserve">Jan/27</t>
  </si>
  <si>
    <t xml:space="preserve">Trabalho a quente: solda e corte sem incêndio</t>
  </si>
  <si>
    <t xml:space="preserve">Prevenir incêndio em atividades com solda, corte e esmerilhamento.</t>
  </si>
  <si>
    <t xml:space="preserve">• Afastar ou proteger materiais combustíveis antes de começar (raio de segurança)
• Ter extintor próximo e liberado durante a atividade
• Fagulhas viajam: atenção a frestas, ralos e materiais embaixo
• Vigiar o local por pelo menos 30 minutos depois de terminar</t>
  </si>
  <si>
    <t xml:space="preserve">Exemplo real de uma bancada ou área de solda da empresa</t>
  </si>
  <si>
    <t xml:space="preserve">Tema ligado à atividade da empresa.</t>
  </si>
  <si>
    <t xml:space="preserve">Fev/27</t>
  </si>
  <si>
    <t xml:space="preserve">Rotas de fuga e saídas de emergência</t>
  </si>
  <si>
    <t xml:space="preserve">Manter os caminhos de saída livres e conhecidos por todos.</t>
  </si>
  <si>
    <t xml:space="preserve">• Onde ficam as saídas de emergência de cada andar
• Corredores, escadas e portas de saída nunca podem ficar bloqueados ou trancados
• Seguir a sinalização fotoluminescente (placas verdes)
• Na emergência: não usar elevador, não voltar para buscar objetos</t>
  </si>
  <si>
    <t xml:space="preserve">Planta do andar com as rotas marcadas</t>
  </si>
  <si>
    <t xml:space="preserve">Mar/27</t>
  </si>
  <si>
    <t xml:space="preserve">Hidrantes e mangueiras de incêndio</t>
  </si>
  <si>
    <t xml:space="preserve">Conhecer os hidrantes do prédio e manter os abrigos desobstruídos.</t>
  </si>
  <si>
    <t xml:space="preserve">• Onde ficam os hidrantes e abrigos de mangueira
• Quem pode operar o hidrante (brigadistas treinados)
• Abrigo sempre fechado, sinalizado e sem nada na frente
• Nunca usar água em equipamentos energizados</t>
  </si>
  <si>
    <t xml:space="preserve">Visita rápida a um abrigo de mangueira</t>
  </si>
  <si>
    <t xml:space="preserve">Abr/27</t>
  </si>
  <si>
    <t xml:space="preserve">Abandono de área e ponto de encontro</t>
  </si>
  <si>
    <t xml:space="preserve">Preparar todos para o simulado de abandono de maio.</t>
  </si>
  <si>
    <t xml:space="preserve">• O que fazer ao ouvir o alarme ou o aviso de abandono
• Papel dos líderes de evacuação e de andar
• Caminho até o ponto de encontro e por que ninguém pode sair dele
• Lista de chamada: como confirmamos que todos saíram</t>
  </si>
  <si>
    <t xml:space="preserve">Mapa com o ponto de encontro</t>
  </si>
  <si>
    <t xml:space="preserve">Preparação para o simulado previsto em Mai/27.</t>
  </si>
  <si>
    <t xml:space="preserve">Mai/27</t>
  </si>
  <si>
    <t xml:space="preserve">Primeiros socorros básicos</t>
  </si>
  <si>
    <t xml:space="preserve">Saber o que fazer (e o que não fazer) até a chegada do socorro.</t>
  </si>
  <si>
    <t xml:space="preserve">• Avaliar a cena: segurança primeiro
• Acionar o socorrista da brigada e o SAMU (192)
• Queimaduras: água corrente em temperatura ambiente; não usar pasta, manteiga ou gelo
• Onde fica o kit de primeiros socorros do andar</t>
  </si>
  <si>
    <t xml:space="preserve">Kit de primeiros socorros do andar</t>
  </si>
  <si>
    <t xml:space="preserve">Revisar o conteúdo com o socorrista da brigada.</t>
  </si>
  <si>
    <t xml:space="preserve">Jun/27</t>
  </si>
  <si>
    <t xml:space="preserve">Riscos elétricos e sobrecarga</t>
  </si>
  <si>
    <t xml:space="preserve">Evitar incêndios de origem elétrica.</t>
  </si>
  <si>
    <t xml:space="preserve">• Não sobrecarregar tomadas com benjamins e extensões em cadeia
• Fios descascados, aquecidos ou com cheiro de queimado: desligar e avisar a manutenção
• Desligar equipamentos ao final do expediente
• Em fogo em equipamento elétrico: desligar a energia e usar PQS ou CO₂</t>
  </si>
  <si>
    <t xml:space="preserve">Exemplo de extensão ou tomada inadequada</t>
  </si>
  <si>
    <t xml:space="preserve">Jul/27</t>
  </si>
  <si>
    <t xml:space="preserve">Inflamáveis e cilindros de gases</t>
  </si>
  <si>
    <t xml:space="preserve">Armazenar e manusear com segurança produtos inflamáveis e gases.</t>
  </si>
  <si>
    <t xml:space="preserve">• Cilindros de oxigênio, acetileno e outros gases: sempre presos, em pé e com capacete
• Manter longe de fontes de calor e de óleo/graxa (risco com oxigênio)
• Inflamáveis em local ventilado, identificado e longe de faíscas
• Organização e limpeza (5S) também previnem incêndio</t>
  </si>
  <si>
    <t xml:space="preserve">Visita à área de armazenamento de gases</t>
  </si>
  <si>
    <t xml:space="preserve">Confirmar com a área responsável os pontos de armazenamento.</t>
  </si>
  <si>
    <t xml:space="preserve">Ago/27</t>
  </si>
  <si>
    <t xml:space="preserve">Como acionar a brigada e balanço do ano</t>
  </si>
  <si>
    <t xml:space="preserve">Reforçar como pedir ajuda e fechar o ciclo da gestão.</t>
  </si>
  <si>
    <t xml:space="preserve">• Números de emergência: Bombeiros 193, SAMU 192 e o contato interno da brigada
• Quem são os brigadistas de cada andar (quadro da brigada)
• O que aprendemos nos DDS e no simulado do ano
• Sugestões de temas para a próxima gestão</t>
  </si>
  <si>
    <t xml:space="preserve">Quadro geral da brigada</t>
  </si>
  <si>
    <t xml:space="preserve">Mês da reciclagem da brigada.</t>
  </si>
  <si>
    <t xml:space="preserve">DDS previstos</t>
  </si>
  <si>
    <t xml:space="preserve">DDS realizados</t>
  </si>
  <si>
    <t xml:space="preserve">% realizado</t>
  </si>
  <si>
    <t xml:space="preserve">Total de participações</t>
  </si>
  <si>
    <t xml:space="preserve">Média de participantes por DDS</t>
  </si>
  <si>
    <t xml:space="preserve">BANCO DE TEMAS RESERVA</t>
  </si>
  <si>
    <t xml:space="preserve">Do que falar</t>
  </si>
  <si>
    <t xml:space="preserve">Incêndio em casa nas festas de fim de ano</t>
  </si>
  <si>
    <t xml:space="preserve">Pisca-pisca, extensões, velas, fogos de artifício e cozinha.</t>
  </si>
  <si>
    <t xml:space="preserve">Pode substituir ou complementar Dez/26.</t>
  </si>
  <si>
    <t xml:space="preserve">Engasgo: manobra de desobstrução</t>
  </si>
  <si>
    <t xml:space="preserve">Como reconhecer e agir em adulto e criança.</t>
  </si>
  <si>
    <t xml:space="preserve">Fumaça mata mais que o fogo</t>
  </si>
  <si>
    <t xml:space="preserve">Por que sair abaixado, proteger as vias aéreas e não voltar.</t>
  </si>
  <si>
    <t xml:space="preserve">Vazamento de gás</t>
  </si>
  <si>
    <t xml:space="preserve">O que fazer e o que não fazer (não acender luz, ventilar, sair).</t>
  </si>
  <si>
    <t xml:space="preserve">Incêndio em empilhadeira ou veículo</t>
  </si>
  <si>
    <t xml:space="preserve">Riscos de baterias, combustível e como agir.</t>
  </si>
  <si>
    <t xml:space="preserve">Iluminação de emergência e alarme</t>
  </si>
  <si>
    <t xml:space="preserve">Para que servem e como reportar falhas.</t>
  </si>
  <si>
    <t xml:space="preserve">Se o prédio tiver esses sistemas.</t>
  </si>
  <si>
    <t xml:space="preserve">Mitos e verdades sobre incêndio</t>
  </si>
  <si>
    <t xml:space="preserve">Desfazer crenças comuns (ex.: jogar água em óleo quente).</t>
  </si>
  <si>
    <t xml:space="preserve">Calor, desmaio e mal súbito</t>
  </si>
  <si>
    <t xml:space="preserve">Primeiros cuidados até a chegada do socorro.</t>
  </si>
  <si>
    <t xml:space="preserve">DDS DA BRIGADA — LISTA DE PRESENÇA</t>
  </si>
  <si>
    <t xml:space="preserve">Tema:</t>
  </si>
  <si>
    <t xml:space="preserve">Data:</t>
  </si>
  <si>
    <t xml:space="preserve">Andar / área:</t>
  </si>
  <si>
    <t xml:space="preserve">Facilitador:</t>
  </si>
  <si>
    <t xml:space="preserve">Nome</t>
  </si>
  <si>
    <t xml:space="preserve">Setor</t>
  </si>
  <si>
    <t xml:space="preserve">Assinatura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</si>
</sst>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%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60808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27262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D6080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272626"/>
      <name val="Arial"/>
      <family val="0"/>
      <charset val="1"/>
    </font>
    <font>
      <b val="true"/>
      <sz val="10"/>
      <color rgb="FFD60808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72626"/>
        <bgColor rgb="FF333300"/>
      </patternFill>
    </fill>
    <fill>
      <patternFill patternType="solid">
        <fgColor rgb="FFFFF1F1"/>
        <bgColor rgb="FFF2F2F2"/>
      </patternFill>
    </fill>
    <fill>
      <patternFill patternType="solid">
        <fgColor rgb="FFF2F2F2"/>
        <bgColor rgb="FFFFF1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72626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CE6F2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808080"/>
      </font>
      <fill>
        <patternFill>
          <bgColor rgb="FFE7E6E6"/>
        </patternFill>
      </fill>
    </dxf>
  </dxfs>
  <colors>
    <indexedColors>
      <rgbColor rgb="FF000000"/>
      <rgbColor rgb="FFFFFFFF"/>
      <rgbColor rgb="FFD60808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1F1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E7E6E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27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4" t="s">
        <v>3</v>
      </c>
    </row>
    <row r="6" customFormat="false" ht="42" hidden="false" customHeight="true" outlineLevel="0" collapsed="false">
      <c r="B6" s="3" t="s">
        <v>4</v>
      </c>
      <c r="C6" s="4" t="s">
        <v>5</v>
      </c>
    </row>
    <row r="7" customFormat="false" ht="18" hidden="false" customHeight="true" outlineLevel="0" collapsed="false">
      <c r="B7" s="3" t="s">
        <v>6</v>
      </c>
      <c r="C7" s="4" t="s">
        <v>7</v>
      </c>
    </row>
    <row r="8" customFormat="false" ht="27.75" hidden="false" customHeight="true" outlineLevel="0" collapsed="false">
      <c r="B8" s="3" t="s">
        <v>8</v>
      </c>
      <c r="C8" s="4" t="s">
        <v>9</v>
      </c>
    </row>
    <row r="9" customFormat="false" ht="18" hidden="false" customHeight="true" outlineLevel="0" collapsed="false">
      <c r="B9" s="3" t="s">
        <v>10</v>
      </c>
      <c r="C9" s="4" t="s">
        <v>11</v>
      </c>
    </row>
    <row r="10" customFormat="false" ht="18" hidden="false" customHeight="true" outlineLevel="0" collapsed="false">
      <c r="B10" s="3" t="s">
        <v>12</v>
      </c>
      <c r="C10" s="4" t="s">
        <v>13</v>
      </c>
    </row>
    <row r="11" customFormat="false" ht="27.75" hidden="false" customHeight="tru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32"/>
  </cols>
  <sheetData>
    <row r="1" customFormat="false" ht="17.35" hidden="false" customHeight="false" outlineLevel="0" collapsed="false">
      <c r="A1" s="5" t="s">
        <v>16</v>
      </c>
    </row>
    <row r="2" customFormat="false" ht="15" hidden="false" customHeight="false" outlineLevel="0" collapsed="false">
      <c r="A2" s="6" t="s">
        <v>17</v>
      </c>
    </row>
    <row r="4" customFormat="false" ht="30" hidden="false" customHeight="tru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6</v>
      </c>
      <c r="L4" s="7" t="s">
        <v>28</v>
      </c>
      <c r="M4" s="7" t="s">
        <v>29</v>
      </c>
    </row>
    <row r="5" customFormat="false" ht="79.5" hidden="false" customHeight="true" outlineLevel="0" collapsed="false">
      <c r="A5" s="8" t="n">
        <v>1</v>
      </c>
      <c r="B5" s="8" t="s">
        <v>30</v>
      </c>
      <c r="C5" s="9" t="s">
        <v>31</v>
      </c>
      <c r="D5" s="10" t="s">
        <v>32</v>
      </c>
      <c r="E5" s="10" t="s">
        <v>33</v>
      </c>
      <c r="F5" s="10" t="s">
        <v>34</v>
      </c>
      <c r="G5" s="8" t="s">
        <v>35</v>
      </c>
      <c r="H5" s="10" t="s">
        <v>36</v>
      </c>
      <c r="I5" s="8" t="s">
        <v>37</v>
      </c>
      <c r="J5" s="11"/>
      <c r="K5" s="8" t="s">
        <v>38</v>
      </c>
      <c r="L5" s="8"/>
      <c r="M5" s="12" t="s">
        <v>39</v>
      </c>
    </row>
    <row r="6" customFormat="false" ht="79.5" hidden="false" customHeight="true" outlineLevel="0" collapsed="false">
      <c r="A6" s="13" t="n">
        <v>2</v>
      </c>
      <c r="B6" s="13" t="s">
        <v>40</v>
      </c>
      <c r="C6" s="14" t="s">
        <v>41</v>
      </c>
      <c r="D6" s="15" t="s">
        <v>42</v>
      </c>
      <c r="E6" s="15" t="s">
        <v>43</v>
      </c>
      <c r="F6" s="15" t="s">
        <v>44</v>
      </c>
      <c r="G6" s="13" t="s">
        <v>35</v>
      </c>
      <c r="H6" s="15" t="s">
        <v>36</v>
      </c>
      <c r="I6" s="13" t="s">
        <v>37</v>
      </c>
      <c r="J6" s="16"/>
      <c r="K6" s="13" t="s">
        <v>38</v>
      </c>
      <c r="L6" s="13"/>
      <c r="M6" s="15"/>
    </row>
    <row r="7" customFormat="false" ht="79.5" hidden="false" customHeight="true" outlineLevel="0" collapsed="false">
      <c r="A7" s="13" t="n">
        <v>3</v>
      </c>
      <c r="B7" s="13" t="s">
        <v>45</v>
      </c>
      <c r="C7" s="14" t="s">
        <v>46</v>
      </c>
      <c r="D7" s="15" t="s">
        <v>47</v>
      </c>
      <c r="E7" s="15" t="s">
        <v>48</v>
      </c>
      <c r="F7" s="15" t="s">
        <v>49</v>
      </c>
      <c r="G7" s="13" t="s">
        <v>35</v>
      </c>
      <c r="H7" s="15" t="s">
        <v>36</v>
      </c>
      <c r="I7" s="13" t="s">
        <v>37</v>
      </c>
      <c r="J7" s="16"/>
      <c r="K7" s="13" t="s">
        <v>38</v>
      </c>
      <c r="L7" s="13"/>
      <c r="M7" s="17" t="s">
        <v>50</v>
      </c>
    </row>
    <row r="8" customFormat="false" ht="79.5" hidden="false" customHeight="true" outlineLevel="0" collapsed="false">
      <c r="A8" s="13" t="n">
        <v>4</v>
      </c>
      <c r="B8" s="13" t="s">
        <v>51</v>
      </c>
      <c r="C8" s="14" t="s">
        <v>52</v>
      </c>
      <c r="D8" s="15" t="s">
        <v>53</v>
      </c>
      <c r="E8" s="15" t="s">
        <v>54</v>
      </c>
      <c r="F8" s="15" t="s">
        <v>55</v>
      </c>
      <c r="G8" s="13" t="s">
        <v>35</v>
      </c>
      <c r="H8" s="15" t="s">
        <v>36</v>
      </c>
      <c r="I8" s="13" t="s">
        <v>37</v>
      </c>
      <c r="J8" s="16"/>
      <c r="K8" s="13" t="s">
        <v>38</v>
      </c>
      <c r="L8" s="13"/>
      <c r="M8" s="15"/>
    </row>
    <row r="9" customFormat="false" ht="79.5" hidden="false" customHeight="true" outlineLevel="0" collapsed="false">
      <c r="A9" s="13" t="n">
        <v>5</v>
      </c>
      <c r="B9" s="13" t="s">
        <v>56</v>
      </c>
      <c r="C9" s="14" t="s">
        <v>57</v>
      </c>
      <c r="D9" s="15" t="s">
        <v>58</v>
      </c>
      <c r="E9" s="15" t="s">
        <v>59</v>
      </c>
      <c r="F9" s="15" t="s">
        <v>60</v>
      </c>
      <c r="G9" s="13" t="s">
        <v>35</v>
      </c>
      <c r="H9" s="15" t="s">
        <v>36</v>
      </c>
      <c r="I9" s="13" t="s">
        <v>37</v>
      </c>
      <c r="J9" s="16"/>
      <c r="K9" s="13" t="s">
        <v>38</v>
      </c>
      <c r="L9" s="13"/>
      <c r="M9" s="15"/>
    </row>
    <row r="10" customFormat="false" ht="79.5" hidden="false" customHeight="true" outlineLevel="0" collapsed="false">
      <c r="A10" s="13" t="n">
        <v>6</v>
      </c>
      <c r="B10" s="13" t="s">
        <v>61</v>
      </c>
      <c r="C10" s="14" t="s">
        <v>62</v>
      </c>
      <c r="D10" s="15" t="s">
        <v>63</v>
      </c>
      <c r="E10" s="15" t="s">
        <v>64</v>
      </c>
      <c r="F10" s="15" t="s">
        <v>65</v>
      </c>
      <c r="G10" s="13" t="s">
        <v>35</v>
      </c>
      <c r="H10" s="15" t="s">
        <v>36</v>
      </c>
      <c r="I10" s="13" t="s">
        <v>37</v>
      </c>
      <c r="J10" s="16"/>
      <c r="K10" s="13" t="s">
        <v>38</v>
      </c>
      <c r="L10" s="13"/>
      <c r="M10" s="17" t="s">
        <v>66</v>
      </c>
    </row>
    <row r="11" customFormat="false" ht="79.5" hidden="false" customHeight="true" outlineLevel="0" collapsed="false">
      <c r="A11" s="13" t="n">
        <v>7</v>
      </c>
      <c r="B11" s="13" t="s">
        <v>67</v>
      </c>
      <c r="C11" s="14" t="s">
        <v>68</v>
      </c>
      <c r="D11" s="15" t="s">
        <v>69</v>
      </c>
      <c r="E11" s="15" t="s">
        <v>70</v>
      </c>
      <c r="F11" s="15" t="s">
        <v>71</v>
      </c>
      <c r="G11" s="13" t="s">
        <v>35</v>
      </c>
      <c r="H11" s="15" t="s">
        <v>36</v>
      </c>
      <c r="I11" s="13" t="s">
        <v>37</v>
      </c>
      <c r="J11" s="16"/>
      <c r="K11" s="13" t="s">
        <v>38</v>
      </c>
      <c r="L11" s="13"/>
      <c r="M11" s="17" t="s">
        <v>72</v>
      </c>
    </row>
    <row r="12" customFormat="false" ht="79.5" hidden="false" customHeight="true" outlineLevel="0" collapsed="false">
      <c r="A12" s="13" t="n">
        <v>8</v>
      </c>
      <c r="B12" s="13" t="s">
        <v>73</v>
      </c>
      <c r="C12" s="14" t="s">
        <v>74</v>
      </c>
      <c r="D12" s="15" t="s">
        <v>75</v>
      </c>
      <c r="E12" s="15" t="s">
        <v>76</v>
      </c>
      <c r="F12" s="15" t="s">
        <v>77</v>
      </c>
      <c r="G12" s="13" t="s">
        <v>35</v>
      </c>
      <c r="H12" s="15" t="s">
        <v>36</v>
      </c>
      <c r="I12" s="13" t="s">
        <v>37</v>
      </c>
      <c r="J12" s="16"/>
      <c r="K12" s="13" t="s">
        <v>38</v>
      </c>
      <c r="L12" s="13"/>
      <c r="M12" s="15"/>
    </row>
    <row r="13" customFormat="false" ht="79.5" hidden="false" customHeight="true" outlineLevel="0" collapsed="false">
      <c r="A13" s="13" t="n">
        <v>9</v>
      </c>
      <c r="B13" s="13" t="s">
        <v>78</v>
      </c>
      <c r="C13" s="14" t="s">
        <v>79</v>
      </c>
      <c r="D13" s="15" t="s">
        <v>80</v>
      </c>
      <c r="E13" s="15" t="s">
        <v>81</v>
      </c>
      <c r="F13" s="15" t="s">
        <v>82</v>
      </c>
      <c r="G13" s="13" t="s">
        <v>35</v>
      </c>
      <c r="H13" s="15" t="s">
        <v>36</v>
      </c>
      <c r="I13" s="13" t="s">
        <v>37</v>
      </c>
      <c r="J13" s="16"/>
      <c r="K13" s="13" t="s">
        <v>38</v>
      </c>
      <c r="L13" s="13"/>
      <c r="M13" s="17" t="s">
        <v>83</v>
      </c>
    </row>
    <row r="14" customFormat="false" ht="79.5" hidden="false" customHeight="true" outlineLevel="0" collapsed="false">
      <c r="A14" s="13" t="n">
        <v>10</v>
      </c>
      <c r="B14" s="13" t="s">
        <v>84</v>
      </c>
      <c r="C14" s="14" t="s">
        <v>85</v>
      </c>
      <c r="D14" s="15" t="s">
        <v>86</v>
      </c>
      <c r="E14" s="15" t="s">
        <v>87</v>
      </c>
      <c r="F14" s="15" t="s">
        <v>88</v>
      </c>
      <c r="G14" s="13" t="s">
        <v>35</v>
      </c>
      <c r="H14" s="15" t="s">
        <v>36</v>
      </c>
      <c r="I14" s="13" t="s">
        <v>37</v>
      </c>
      <c r="J14" s="16"/>
      <c r="K14" s="13" t="s">
        <v>38</v>
      </c>
      <c r="L14" s="13"/>
      <c r="M14" s="17" t="s">
        <v>89</v>
      </c>
    </row>
    <row r="16" customFormat="false" ht="15" hidden="false" customHeight="false" outlineLevel="0" collapsed="false">
      <c r="C16" s="18" t="s">
        <v>90</v>
      </c>
      <c r="D16" s="19" t="n">
        <f aca="false">COUNTIF(K5:K14,"P")+COUNTIF(K5:K14,"R")+COUNTIF(K5:K14,"A")</f>
        <v>10</v>
      </c>
    </row>
    <row r="17" customFormat="false" ht="15" hidden="false" customHeight="false" outlineLevel="0" collapsed="false">
      <c r="C17" s="18" t="s">
        <v>91</v>
      </c>
      <c r="D17" s="19" t="n">
        <f aca="false">COUNTIF(K5:K14,"R")</f>
        <v>0</v>
      </c>
    </row>
    <row r="18" customFormat="false" ht="15" hidden="false" customHeight="false" outlineLevel="0" collapsed="false">
      <c r="C18" s="18" t="s">
        <v>92</v>
      </c>
      <c r="D18" s="20" t="n">
        <f aca="false">IF(D16=0,"-",D17/D16)</f>
        <v>0</v>
      </c>
    </row>
    <row r="19" customFormat="false" ht="15" hidden="false" customHeight="false" outlineLevel="0" collapsed="false">
      <c r="C19" s="18" t="s">
        <v>93</v>
      </c>
      <c r="D19" s="19" t="n">
        <f aca="false">SUM(L5:L14)</f>
        <v>0</v>
      </c>
    </row>
    <row r="20" customFormat="false" ht="15" hidden="false" customHeight="false" outlineLevel="0" collapsed="false">
      <c r="C20" s="18" t="s">
        <v>94</v>
      </c>
      <c r="D20" s="21" t="str">
        <f aca="false">IF(D17=0,"-",AVERAGEIF(K5:K14,"R",L5:L14))</f>
        <v>-</v>
      </c>
    </row>
  </sheetData>
  <autoFilter ref="A4:M14"/>
  <conditionalFormatting sqref="K5:K14">
    <cfRule type="cellIs" priority="2" operator="equal" aboveAverage="0" equalAverage="0" bottom="0" percent="0" rank="0" text="" dxfId="8">
      <formula>"P"</formula>
    </cfRule>
    <cfRule type="cellIs" priority="3" operator="equal" aboveAverage="0" equalAverage="0" bottom="0" percent="0" rank="0" text="" dxfId="9">
      <formula>"R"</formula>
    </cfRule>
    <cfRule type="cellIs" priority="4" operator="equal" aboveAverage="0" equalAverage="0" bottom="0" percent="0" rank="0" text="" dxfId="10">
      <formula>"A"</formula>
    </cfRule>
    <cfRule type="cellIs" priority="5" operator="equal" aboveAverage="0" equalAverage="0" bottom="0" percent="0" rank="0" text="" dxfId="11">
      <formula>"C"</formula>
    </cfRule>
  </conditionalFormatting>
  <dataValidations count="3">
    <dataValidation allowBlank="true" errorStyle="stop" operator="between" showDropDown="false" showErrorMessage="false" showInputMessage="false" sqref="K5:K14" type="list">
      <formula1>"P,R,A,C"</formula1>
      <formula2>0</formula2>
    </dataValidation>
    <dataValidation allowBlank="true" error="Informe uma data válida." errorStyle="stop" operator="greaterThan" showDropDown="false" showErrorMessage="false" showInputMessage="false" sqref="J5:J14" type="date">
      <formula1>DATE(2026,8,1)</formula1>
      <formula2>0</formula2>
    </dataValidation>
    <dataValidation allowBlank="true" error="Informe um número inteiro." errorStyle="stop" operator="greaterThanOrEqual" showDropDown="false" showErrorMessage="false" showInputMessage="false" sqref="L5:L1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5" t="s">
        <v>95</v>
      </c>
    </row>
    <row r="3" customFormat="false" ht="15" hidden="false" customHeight="false" outlineLevel="0" collapsed="false">
      <c r="A3" s="7" t="s">
        <v>18</v>
      </c>
      <c r="B3" s="7" t="s">
        <v>20</v>
      </c>
      <c r="C3" s="7" t="s">
        <v>96</v>
      </c>
      <c r="D3" s="7" t="s">
        <v>29</v>
      </c>
    </row>
    <row r="4" customFormat="false" ht="30" hidden="false" customHeight="true" outlineLevel="0" collapsed="false">
      <c r="A4" s="22" t="n">
        <v>1</v>
      </c>
      <c r="B4" s="23" t="s">
        <v>97</v>
      </c>
      <c r="C4" s="24" t="s">
        <v>98</v>
      </c>
      <c r="D4" s="24" t="s">
        <v>99</v>
      </c>
    </row>
    <row r="5" customFormat="false" ht="30" hidden="false" customHeight="true" outlineLevel="0" collapsed="false">
      <c r="A5" s="22" t="n">
        <v>2</v>
      </c>
      <c r="B5" s="23" t="s">
        <v>100</v>
      </c>
      <c r="C5" s="24" t="s">
        <v>101</v>
      </c>
      <c r="D5" s="24"/>
    </row>
    <row r="6" customFormat="false" ht="30" hidden="false" customHeight="true" outlineLevel="0" collapsed="false">
      <c r="A6" s="22" t="n">
        <v>3</v>
      </c>
      <c r="B6" s="23" t="s">
        <v>102</v>
      </c>
      <c r="C6" s="24" t="s">
        <v>103</v>
      </c>
      <c r="D6" s="24"/>
    </row>
    <row r="7" customFormat="false" ht="30" hidden="false" customHeight="true" outlineLevel="0" collapsed="false">
      <c r="A7" s="22" t="n">
        <v>4</v>
      </c>
      <c r="B7" s="23" t="s">
        <v>104</v>
      </c>
      <c r="C7" s="24" t="s">
        <v>105</v>
      </c>
      <c r="D7" s="24"/>
    </row>
    <row r="8" customFormat="false" ht="30" hidden="false" customHeight="true" outlineLevel="0" collapsed="false">
      <c r="A8" s="22" t="n">
        <v>5</v>
      </c>
      <c r="B8" s="23" t="s">
        <v>106</v>
      </c>
      <c r="C8" s="24" t="s">
        <v>107</v>
      </c>
      <c r="D8" s="24"/>
    </row>
    <row r="9" customFormat="false" ht="30" hidden="false" customHeight="true" outlineLevel="0" collapsed="false">
      <c r="A9" s="22" t="n">
        <v>6</v>
      </c>
      <c r="B9" s="23" t="s">
        <v>108</v>
      </c>
      <c r="C9" s="24" t="s">
        <v>109</v>
      </c>
      <c r="D9" s="24" t="s">
        <v>110</v>
      </c>
    </row>
    <row r="10" customFormat="false" ht="30" hidden="false" customHeight="true" outlineLevel="0" collapsed="false">
      <c r="A10" s="22" t="n">
        <v>7</v>
      </c>
      <c r="B10" s="23" t="s">
        <v>111</v>
      </c>
      <c r="C10" s="24" t="s">
        <v>112</v>
      </c>
      <c r="D10" s="24"/>
    </row>
    <row r="11" customFormat="false" ht="30" hidden="false" customHeight="true" outlineLevel="0" collapsed="false">
      <c r="A11" s="22" t="n">
        <v>8</v>
      </c>
      <c r="B11" s="23" t="s">
        <v>113</v>
      </c>
      <c r="C11" s="24" t="s">
        <v>114</v>
      </c>
      <c r="D1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5" t="s">
        <v>115</v>
      </c>
    </row>
    <row r="3" customFormat="false" ht="15" hidden="false" customHeight="false" outlineLevel="0" collapsed="false">
      <c r="A3" s="25" t="s">
        <v>116</v>
      </c>
      <c r="B3" s="26"/>
      <c r="C3" s="26"/>
      <c r="D3" s="26"/>
    </row>
    <row r="4" customFormat="false" ht="15" hidden="false" customHeight="false" outlineLevel="0" collapsed="false">
      <c r="A4" s="25" t="s">
        <v>117</v>
      </c>
      <c r="B4" s="26"/>
      <c r="C4" s="26"/>
      <c r="D4" s="26"/>
    </row>
    <row r="5" customFormat="false" ht="15" hidden="false" customHeight="false" outlineLevel="0" collapsed="false">
      <c r="A5" s="25" t="s">
        <v>118</v>
      </c>
      <c r="B5" s="26"/>
      <c r="C5" s="26"/>
      <c r="D5" s="26"/>
    </row>
    <row r="6" customFormat="false" ht="15" hidden="false" customHeight="false" outlineLevel="0" collapsed="false">
      <c r="A6" s="25" t="s">
        <v>119</v>
      </c>
      <c r="B6" s="26"/>
      <c r="C6" s="26"/>
      <c r="D6" s="26"/>
    </row>
    <row r="8" customFormat="false" ht="15" hidden="false" customHeight="false" outlineLevel="0" collapsed="false">
      <c r="A8" s="27" t="s">
        <v>18</v>
      </c>
      <c r="B8" s="27" t="s">
        <v>120</v>
      </c>
      <c r="C8" s="27" t="s">
        <v>121</v>
      </c>
      <c r="D8" s="27" t="s">
        <v>122</v>
      </c>
    </row>
    <row r="9" customFormat="false" ht="25.5" hidden="false" customHeight="true" outlineLevel="0" collapsed="false">
      <c r="A9" s="28" t="n">
        <v>1</v>
      </c>
      <c r="B9" s="29"/>
      <c r="C9" s="29"/>
      <c r="D9" s="29"/>
    </row>
    <row r="10" customFormat="false" ht="25.5" hidden="false" customHeight="true" outlineLevel="0" collapsed="false">
      <c r="A10" s="28" t="n">
        <v>2</v>
      </c>
      <c r="B10" s="29"/>
      <c r="C10" s="29"/>
      <c r="D10" s="29"/>
    </row>
    <row r="11" customFormat="false" ht="25.5" hidden="false" customHeight="true" outlineLevel="0" collapsed="false">
      <c r="A11" s="28" t="n">
        <v>3</v>
      </c>
      <c r="B11" s="29"/>
      <c r="C11" s="29"/>
      <c r="D11" s="29"/>
    </row>
    <row r="12" customFormat="false" ht="25.5" hidden="false" customHeight="true" outlineLevel="0" collapsed="false">
      <c r="A12" s="28" t="n">
        <v>4</v>
      </c>
      <c r="B12" s="29"/>
      <c r="C12" s="29"/>
      <c r="D12" s="29"/>
    </row>
    <row r="13" customFormat="false" ht="25.5" hidden="false" customHeight="true" outlineLevel="0" collapsed="false">
      <c r="A13" s="28" t="n">
        <v>5</v>
      </c>
      <c r="B13" s="29"/>
      <c r="C13" s="29"/>
      <c r="D13" s="29"/>
    </row>
    <row r="14" customFormat="false" ht="25.5" hidden="false" customHeight="true" outlineLevel="0" collapsed="false">
      <c r="A14" s="28" t="n">
        <v>6</v>
      </c>
      <c r="B14" s="29"/>
      <c r="C14" s="29"/>
      <c r="D14" s="29"/>
    </row>
    <row r="15" customFormat="false" ht="25.5" hidden="false" customHeight="true" outlineLevel="0" collapsed="false">
      <c r="A15" s="28" t="n">
        <v>7</v>
      </c>
      <c r="B15" s="29"/>
      <c r="C15" s="29"/>
      <c r="D15" s="29"/>
    </row>
    <row r="16" customFormat="false" ht="25.5" hidden="false" customHeight="true" outlineLevel="0" collapsed="false">
      <c r="A16" s="28" t="n">
        <v>8</v>
      </c>
      <c r="B16" s="29"/>
      <c r="C16" s="29"/>
      <c r="D16" s="29"/>
    </row>
    <row r="17" customFormat="false" ht="25.5" hidden="false" customHeight="true" outlineLevel="0" collapsed="false">
      <c r="A17" s="28" t="n">
        <v>9</v>
      </c>
      <c r="B17" s="29"/>
      <c r="C17" s="29"/>
      <c r="D17" s="29"/>
    </row>
    <row r="18" customFormat="false" ht="25.5" hidden="false" customHeight="true" outlineLevel="0" collapsed="false">
      <c r="A18" s="28" t="n">
        <v>10</v>
      </c>
      <c r="B18" s="29"/>
      <c r="C18" s="29"/>
      <c r="D18" s="29"/>
    </row>
    <row r="19" customFormat="false" ht="25.5" hidden="false" customHeight="true" outlineLevel="0" collapsed="false">
      <c r="A19" s="28" t="n">
        <v>11</v>
      </c>
      <c r="B19" s="29"/>
      <c r="C19" s="29"/>
      <c r="D19" s="29"/>
    </row>
    <row r="20" customFormat="false" ht="25.5" hidden="false" customHeight="true" outlineLevel="0" collapsed="false">
      <c r="A20" s="28" t="n">
        <v>12</v>
      </c>
      <c r="B20" s="29"/>
      <c r="C20" s="29"/>
      <c r="D20" s="29"/>
    </row>
    <row r="21" customFormat="false" ht="25.5" hidden="false" customHeight="true" outlineLevel="0" collapsed="false">
      <c r="A21" s="28" t="n">
        <v>13</v>
      </c>
      <c r="B21" s="29"/>
      <c r="C21" s="29"/>
      <c r="D21" s="29"/>
    </row>
    <row r="22" customFormat="false" ht="25.5" hidden="false" customHeight="true" outlineLevel="0" collapsed="false">
      <c r="A22" s="28" t="n">
        <v>14</v>
      </c>
      <c r="B22" s="29"/>
      <c r="C22" s="29"/>
      <c r="D22" s="29"/>
    </row>
    <row r="23" customFormat="false" ht="25.5" hidden="false" customHeight="true" outlineLevel="0" collapsed="false">
      <c r="A23" s="28" t="n">
        <v>15</v>
      </c>
      <c r="B23" s="29"/>
      <c r="C23" s="29"/>
      <c r="D23" s="29"/>
    </row>
    <row r="24" customFormat="false" ht="25.5" hidden="false" customHeight="true" outlineLevel="0" collapsed="false">
      <c r="A24" s="28" t="n">
        <v>16</v>
      </c>
      <c r="B24" s="29"/>
      <c r="C24" s="29"/>
      <c r="D24" s="29"/>
    </row>
    <row r="25" customFormat="false" ht="25.5" hidden="false" customHeight="true" outlineLevel="0" collapsed="false">
      <c r="A25" s="28" t="n">
        <v>17</v>
      </c>
      <c r="B25" s="29"/>
      <c r="C25" s="29"/>
      <c r="D25" s="29"/>
    </row>
    <row r="26" customFormat="false" ht="25.5" hidden="false" customHeight="true" outlineLevel="0" collapsed="false">
      <c r="A26" s="28" t="n">
        <v>18</v>
      </c>
      <c r="B26" s="29"/>
      <c r="C26" s="29"/>
      <c r="D26" s="29"/>
    </row>
    <row r="27" customFormat="false" ht="25.5" hidden="false" customHeight="true" outlineLevel="0" collapsed="false">
      <c r="A27" s="28" t="n">
        <v>19</v>
      </c>
      <c r="B27" s="29"/>
      <c r="C27" s="29"/>
      <c r="D27" s="29"/>
    </row>
    <row r="28" customFormat="false" ht="25.5" hidden="false" customHeight="true" outlineLevel="0" collapsed="false">
      <c r="A28" s="28" t="n">
        <v>20</v>
      </c>
      <c r="B28" s="29"/>
      <c r="C28" s="29"/>
      <c r="D28" s="29"/>
    </row>
    <row r="29" customFormat="false" ht="25.5" hidden="false" customHeight="true" outlineLevel="0" collapsed="false">
      <c r="A29" s="28" t="n">
        <v>21</v>
      </c>
      <c r="B29" s="29"/>
      <c r="C29" s="29"/>
      <c r="D29" s="29"/>
    </row>
    <row r="30" customFormat="false" ht="25.5" hidden="false" customHeight="true" outlineLevel="0" collapsed="false">
      <c r="A30" s="28" t="n">
        <v>22</v>
      </c>
      <c r="B30" s="29"/>
      <c r="C30" s="29"/>
      <c r="D30" s="29"/>
    </row>
    <row r="31" customFormat="false" ht="25.5" hidden="false" customHeight="true" outlineLevel="0" collapsed="false">
      <c r="A31" s="28" t="n">
        <v>23</v>
      </c>
      <c r="B31" s="29"/>
      <c r="C31" s="29"/>
      <c r="D31" s="29"/>
    </row>
    <row r="32" customFormat="false" ht="25.5" hidden="false" customHeight="true" outlineLevel="0" collapsed="false">
      <c r="A32" s="28" t="n">
        <v>24</v>
      </c>
      <c r="B32" s="29"/>
      <c r="C32" s="29"/>
      <c r="D32" s="29"/>
    </row>
    <row r="33" customFormat="false" ht="25.5" hidden="false" customHeight="true" outlineLevel="0" collapsed="false">
      <c r="A33" s="28" t="n">
        <v>25</v>
      </c>
      <c r="B33" s="29"/>
      <c r="C33" s="29"/>
      <c r="D33" s="29"/>
    </row>
  </sheetData>
  <mergeCells count="4"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2026-10-21T15:22:13Z</dcterms:created>
  <dc:creator>openpyxl</dc:creator>
  <dc:description/>
  <dc:language>en-US</dc:language>
  <cp:lastModifiedBy/>
  <dcterms:modified xsi:type="dcterms:W3CDTF">2026-10-21T15:22:13Z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