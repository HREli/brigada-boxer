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Cronograma" sheetId="2" state="visible" r:id="rId4"/>
    <sheet name="Resumo" sheetId="3" state="visible" r:id="rId5"/>
  </sheets>
  <definedNames>
    <definedName function="false" hidden="false" localSheetId="1" name="_xlnm.Print_Titles" vbProcedure="false">Cronograma!$4:$4</definedName>
    <definedName function="false" hidden="true" localSheetId="1" name="_xlnm._FilterDatabase" vbProcedure="false">Cronograma!$A$4:$W$27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Ago/26 a Ago/27: gestão da brigada (agosto a agosto). Ago/27 marca a reciclagem e a passagem para a próxima gestão.</t>
        </r>
      </text>
    </comment>
  </commentList>
</comments>
</file>

<file path=xl/sharedStrings.xml><?xml version="1.0" encoding="utf-8"?>
<sst xmlns="http://schemas.openxmlformats.org/spreadsheetml/2006/main" count="320" uniqueCount="149">
  <si>
    <t xml:space="preserve">BRIGADA DE INCÊNDIO — Cronograma Geral da Gestão</t>
  </si>
  <si>
    <t xml:space="preserve">Gestão agosto/2026 a agosto/2027 · PROPOSTA para validação com o coordenador e os líderes</t>
  </si>
  <si>
    <t xml:space="preserve">Como ler</t>
  </si>
  <si>
    <t xml:space="preserve">Cada linha é uma atividade. Nas colunas dos meses, a letra mostra a situação da atividade naquele mês.</t>
  </si>
  <si>
    <t xml:space="preserve">P</t>
  </si>
  <si>
    <t xml:space="preserve">Prevista — está planejada para o mês.</t>
  </si>
  <si>
    <t xml:space="preserve">R</t>
  </si>
  <si>
    <t xml:space="preserve">Realizada — aconteceu (tenha a comprovação: ATA, lista de presença, checklist, fotos).</t>
  </si>
  <si>
    <t xml:space="preserve">A</t>
  </si>
  <si>
    <t xml:space="preserve">Adiada — não aconteceu no mês previsto. Marque também o novo mês com P.</t>
  </si>
  <si>
    <t xml:space="preserve">C</t>
  </si>
  <si>
    <t xml:space="preserve">Cancelada / não necessária.</t>
  </si>
  <si>
    <t xml:space="preserve">O que editar</t>
  </si>
  <si>
    <t xml:space="preserve">Só as células dos meses (escolha na lista: P, R, A ou C) e as colunas Responsável e Observação. Os totais e o % realizado são calculados sozinhos.</t>
  </si>
  <si>
    <t xml:space="preserve">Para validar</t>
  </si>
  <si>
    <t xml:space="preserve">1) Meses sugeridos dos simulados, da SIPAT e da revisão do Plano de Emergência.
2) Se o prédio tem iluminação de emergência e alarme/detecção.
3) Meses de manutenção de mangueiras e de recarga dos extintores (conforme a empresa contratada e os vencimentos no app).
4) Responsáveis de cada atividade.
5) Se falta alguma atividade.</t>
  </si>
  <si>
    <t xml:space="preserve">Atenção</t>
  </si>
  <si>
    <t xml:space="preserve">As frequências são sugestões de boas práticas. Confirme as exigências da Instrução Técnica do Corpo de Bombeiros do estado, das normas ABNT aplicáveis e do contrato com a empresa de manutenção.</t>
  </si>
  <si>
    <t xml:space="preserve">Depois</t>
  </si>
  <si>
    <t xml:space="preserve">Validado o cronograma, ele pode ser importado para o Calendário do app, junto com as reuniões.</t>
  </si>
  <si>
    <t xml:space="preserve">CRONOGRAMA GERAL DA BRIGADA — GESTÃO AGO/2026 A AGO/2027</t>
  </si>
  <si>
    <t xml:space="preserve">Proposta para validação · P = prevista · R = realizada · A = adiada · C = cancelada</t>
  </si>
  <si>
    <t xml:space="preserve">Nº</t>
  </si>
  <si>
    <t xml:space="preserve">Tipo</t>
  </si>
  <si>
    <t xml:space="preserve">Atividade</t>
  </si>
  <si>
    <t xml:space="preserve">Frequência</t>
  </si>
  <si>
    <t xml:space="preserve">Responsável</t>
  </si>
  <si>
    <t xml:space="preserve">Comprovação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</si>
  <si>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</si>
  <si>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</si>
  <si>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</si>
  <si>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</si>
  <si>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</si>
  <si>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Jan/27</t>
  </si>
  <si>
    <t xml:space="preserve">Fev/27</t>
  </si>
  <si>
    <t xml:space="preserve">Mar/27</t>
  </si>
  <si>
    <t xml:space="preserve">Abr/27</t>
  </si>
  <si>
    <t xml:space="preserve">Mai/27</t>
  </si>
  <si>
    <t xml:space="preserve">Jun/27</t>
  </si>
  <si>
    <t xml:space="preserve">Jul/27</t>
  </si>
  <si>
    <t xml:space="preserve">Ago/27</t>
  </si>
  <si>
    <t xml:space="preserve">Previstas</t>
  </si>
  <si>
    <t xml:space="preserve">Realizadas</t>
  </si>
  <si>
    <t xml:space="preserve">% realizado</t>
  </si>
  <si>
    <t xml:space="preserve">Observação / a validar</t>
  </si>
  <si>
    <t xml:space="preserve">Reuniões</t>
  </si>
  <si>
    <t xml:space="preserve">Reunião Geral da Brigada</t>
  </si>
  <si>
    <t xml:space="preserve">Mensal (3ª quarta-feira)</t>
  </si>
  <si>
    <t xml:space="preserve">Coordenador / Secretária</t>
  </si>
  <si>
    <t xml:space="preserve">ATA assinada no app</t>
  </si>
  <si>
    <t xml:space="preserve">Ago/26 realizada (26/08). Set/26 não houve. Out/26 em 22/10 (exceção: quinta-feira).</t>
  </si>
  <si>
    <t xml:space="preserve">Reunião de Líderes</t>
  </si>
  <si>
    <t xml:space="preserve">Mensal, 7 a 10 dias antes da Geral (quando necessário)</t>
  </si>
  <si>
    <t xml:space="preserve">Coordenador + líderes de andar</t>
  </si>
  <si>
    <t xml:space="preserve">ATA no app</t>
  </si>
  <si>
    <t xml:space="preserve">Out/26 realizada (06/10). Pode não acontecer em todos os meses.</t>
  </si>
  <si>
    <t xml:space="preserve">Treinamentos</t>
  </si>
  <si>
    <t xml:space="preserve">Formação / reciclagem da brigada (Semana de Treinamento)</t>
  </si>
  <si>
    <t xml:space="preserve">Anual</t>
  </si>
  <si>
    <t xml:space="preserve">Coordenador + empresa de treinamento</t>
  </si>
  <si>
    <t xml:space="preserve">Certificados (app: Documentos)</t>
  </si>
  <si>
    <t xml:space="preserve">Ago/26 realizada (10 a 13/08). Ago/27: reciclagem — certificados vencem.</t>
  </si>
  <si>
    <t xml:space="preserve">Integração de novos brigadistas</t>
  </si>
  <si>
    <t xml:space="preserve">Quando houver entrada</t>
  </si>
  <si>
    <t xml:space="preserve">Coordenador</t>
  </si>
  <si>
    <t xml:space="preserve">Lista de presença</t>
  </si>
  <si>
    <t xml:space="preserve">Sem mês fixo: marcar quando entrar alguém novo.</t>
  </si>
  <si>
    <t xml:space="preserve">DDS da Brigada (tema do mês)</t>
  </si>
  <si>
    <t xml:space="preserve">Mensal</t>
  </si>
  <si>
    <t xml:space="preserve">Líderes de andar</t>
  </si>
  <si>
    <t xml:space="preserve">Primeiro tema sugerido: obstrução de extintor na operação.</t>
  </si>
  <si>
    <t xml:space="preserve">Simulados</t>
  </si>
  <si>
    <t xml:space="preserve">Simulado de abandono de área (evacuação)</t>
  </si>
  <si>
    <t xml:space="preserve">Semestral (sugestão)</t>
  </si>
  <si>
    <t xml:space="preserve">Coordenador + líderes de evacuação</t>
  </si>
  <si>
    <t xml:space="preserve">Relatório, fotos, tempo de saída e lista de chamada (app: Pessoas no Prédio)</t>
  </si>
  <si>
    <t xml:space="preserve">Meses sugeridos — validar com os líderes e com a norma aplicável.</t>
  </si>
  <si>
    <t xml:space="preserve">Simulado prático de combate a princípio de incêndio e primeiros socorros</t>
  </si>
  <si>
    <t xml:space="preserve">Anual (sugestão)</t>
  </si>
  <si>
    <t xml:space="preserve">Coordenador + combatentes e socorristas</t>
  </si>
  <si>
    <t xml:space="preserve">Relatório e fotos</t>
  </si>
  <si>
    <t xml:space="preserve">Mês sugerido.</t>
  </si>
  <si>
    <t xml:space="preserve">Inspeções</t>
  </si>
  <si>
    <t xml:space="preserve">Inspeção visual dos extintores</t>
  </si>
  <si>
    <t xml:space="preserve">Combatentes</t>
  </si>
  <si>
    <t xml:space="preserve">Checklist no app (Extintores)</t>
  </si>
  <si>
    <t xml:space="preserve">Recarga / manutenção dos extintores</t>
  </si>
  <si>
    <t xml:space="preserve">Anual (conforme vencimento)</t>
  </si>
  <si>
    <t xml:space="preserve">Empresa contratada (acompanhamento: coordenador)</t>
  </si>
  <si>
    <t xml:space="preserve">Etiqueta e nota da empresa</t>
  </si>
  <si>
    <t xml:space="preserve">Marcar o mês conforme o vencimento de cada extintor no app.</t>
  </si>
  <si>
    <t xml:space="preserve">Inspeção visual dos hidrantes e abrigos de mangueira</t>
  </si>
  <si>
    <t xml:space="preserve">Checklist no app (Hidrantes)</t>
  </si>
  <si>
    <t xml:space="preserve">Inspeção e manutenção das mangueiras de incêndio</t>
  </si>
  <si>
    <t xml:space="preserve">Semestral inspeção / anual manutenção (sugestão)</t>
  </si>
  <si>
    <t xml:space="preserve">Empresa contratada</t>
  </si>
  <si>
    <t xml:space="preserve">Laudo / relatório da empresa</t>
  </si>
  <si>
    <t xml:space="preserve">Confirmar meses com a empresa de manutenção.</t>
  </si>
  <si>
    <t xml:space="preserve">Teste da iluminação de emergência</t>
  </si>
  <si>
    <t xml:space="preserve">Checklist</t>
  </si>
  <si>
    <t xml:space="preserve">Confirmar se há este sistema no prédio.</t>
  </si>
  <si>
    <t xml:space="preserve">Teste do alarme / sistema de detecção</t>
  </si>
  <si>
    <t xml:space="preserve">Mensal (sugestão)</t>
  </si>
  <si>
    <t xml:space="preserve">Rotas de fuga, saídas de emergência e sinalização desobstruídas</t>
  </si>
  <si>
    <t xml:space="preserve">Líderes de evacuação</t>
  </si>
  <si>
    <t xml:space="preserve">Checklist / fotos</t>
  </si>
  <si>
    <t xml:space="preserve">Conferência do kit de primeiros socorros</t>
  </si>
  <si>
    <t xml:space="preserve">Responsável pelo kit</t>
  </si>
  <si>
    <t xml:space="preserve">Checklist de itens e validades</t>
  </si>
  <si>
    <t xml:space="preserve">Ponto de encontro: placas e identificação</t>
  </si>
  <si>
    <t xml:space="preserve">Trimestral</t>
  </si>
  <si>
    <t xml:space="preserve">Líder de evacuação</t>
  </si>
  <si>
    <t xml:space="preserve">Fotos</t>
  </si>
  <si>
    <t xml:space="preserve">Placa do ponto de encontro geral ainda pendente (ATA 22/10).</t>
  </si>
  <si>
    <t xml:space="preserve">Pessoas e documentos</t>
  </si>
  <si>
    <t xml:space="preserve">Atualizar a lista de pessoas no prédio</t>
  </si>
  <si>
    <t xml:space="preserve">Mensal (e a cada admissão/desligamento)</t>
  </si>
  <si>
    <t xml:space="preserve">RH (Elizângela)</t>
  </si>
  <si>
    <t xml:space="preserve">Planilha importada no app (Pessoas no Prédio)</t>
  </si>
  <si>
    <t xml:space="preserve">Conferir validade do AVCB / CLCB e certificados</t>
  </si>
  <si>
    <t xml:space="preserve">App: Certificados e Atestado</t>
  </si>
  <si>
    <t xml:space="preserve">Revisar o Plano de Emergência</t>
  </si>
  <si>
    <t xml:space="preserve">Coordenador + líderes</t>
  </si>
  <si>
    <t xml:space="preserve">Plano revisado e assinado</t>
  </si>
  <si>
    <t xml:space="preserve">Mês sugerido: antes do encerramento da gestão.</t>
  </si>
  <si>
    <t xml:space="preserve">Campanhas</t>
  </si>
  <si>
    <t xml:space="preserve">SIPAT (participação da Brigada)</t>
  </si>
  <si>
    <t xml:space="preserve">CIPA + Brigada</t>
  </si>
  <si>
    <t xml:space="preserve">Programação e lista de presença</t>
  </si>
  <si>
    <t xml:space="preserve">Mês A DEFINIR com a CIPA.</t>
  </si>
  <si>
    <t xml:space="preserve">Comunicação ao time (quadro da brigada, identificação, avisos)</t>
  </si>
  <si>
    <t xml:space="preserve">Coordenador / Marketing</t>
  </si>
  <si>
    <t xml:space="preserve">Fotos / e-mail</t>
  </si>
  <si>
    <t xml:space="preserve">Quadro geral da brigada em produção (ATA 22/10).</t>
  </si>
  <si>
    <t xml:space="preserve">Gestão</t>
  </si>
  <si>
    <t xml:space="preserve">Balanço da gestão (relatório para a diretoria)</t>
  </si>
  <si>
    <t xml:space="preserve">Coordenador + secretária</t>
  </si>
  <si>
    <t xml:space="preserve">Relatório</t>
  </si>
  <si>
    <t xml:space="preserve">Definição da composição da próxima gestão</t>
  </si>
  <si>
    <t xml:space="preserve">Coordenador + RH</t>
  </si>
  <si>
    <t xml:space="preserve">Lista de brigadistas atualizada no app</t>
  </si>
  <si>
    <t xml:space="preserve">Antes da reciclagem de Ago/27.</t>
  </si>
  <si>
    <t xml:space="preserve">Atividades previstas no mês</t>
  </si>
  <si>
    <t xml:space="preserve">Realizadas no mês</t>
  </si>
  <si>
    <t xml:space="preserve">% realizado no mês</t>
  </si>
  <si>
    <t xml:space="preserve">Gestão:</t>
  </si>
  <si>
    <t xml:space="preserve">RESUMO POR TIPO DE ATIVIDADE</t>
  </si>
  <si>
    <t xml:space="preserve">Atividades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</si>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</sst>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60808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27262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D6080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7F6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D60808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D6080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CE6F2"/>
        <bgColor rgb="FFE7E6E6"/>
      </patternFill>
    </fill>
    <fill>
      <patternFill patternType="solid">
        <fgColor rgb="FFC6EFCE"/>
        <bgColor rgb="FFDCE6F2"/>
      </patternFill>
    </fill>
    <fill>
      <patternFill patternType="solid">
        <fgColor rgb="FFFFE699"/>
        <bgColor rgb="FFFFF4E5"/>
      </patternFill>
    </fill>
    <fill>
      <patternFill patternType="solid">
        <fgColor rgb="FFE7E6E6"/>
        <bgColor rgb="FFDCE6F2"/>
      </patternFill>
    </fill>
    <fill>
      <patternFill patternType="solid">
        <fgColor rgb="FF272626"/>
        <bgColor rgb="FF333300"/>
      </patternFill>
    </fill>
    <fill>
      <patternFill patternType="solid">
        <fgColor rgb="FFFDECEC"/>
        <bgColor rgb="FFFFF0F6"/>
      </patternFill>
    </fill>
    <fill>
      <patternFill patternType="solid">
        <fgColor rgb="FFEEF3FB"/>
        <bgColor rgb="FFF2F2F2"/>
      </patternFill>
    </fill>
    <fill>
      <patternFill patternType="solid">
        <fgColor rgb="FFFFF4E5"/>
        <bgColor rgb="FFFFF0F6"/>
      </patternFill>
    </fill>
    <fill>
      <patternFill patternType="solid">
        <fgColor rgb="FFF1F8F1"/>
        <bgColor rgb="FFF2F2F2"/>
      </patternFill>
    </fill>
    <fill>
      <patternFill patternType="solid">
        <fgColor rgb="FFF5F0FA"/>
        <bgColor rgb="FFF2F2F2"/>
      </patternFill>
    </fill>
    <fill>
      <patternFill patternType="solid">
        <fgColor rgb="FFFFF0F6"/>
        <bgColor rgb="FFFDECEC"/>
      </patternFill>
    </fill>
    <fill>
      <patternFill patternType="solid">
        <fgColor rgb="FFF2F2F2"/>
        <bgColor rgb="FFF5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72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1F8F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F0FA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FF0F6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CE6F2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808080"/>
      </font>
      <fill>
        <patternFill>
          <bgColor rgb="FFE7E6E6"/>
        </patternFill>
      </fill>
    </dxf>
  </dxfs>
  <colors>
    <indexedColors>
      <rgbColor rgb="FF000000"/>
      <rgbColor rgb="FFFFFFFF"/>
      <rgbColor rgb="FFD60808"/>
      <rgbColor rgb="FF00FF00"/>
      <rgbColor rgb="FF0000FF"/>
      <rgbColor rgb="FFFFF0F6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DCE6F2"/>
      <rgbColor rgb="FF808080"/>
      <rgbColor rgb="FF9999FF"/>
      <rgbColor rgb="FF993366"/>
      <rgbColor rgb="FFFFF4E5"/>
      <rgbColor rgb="FFEE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F1"/>
      <rgbColor rgb="FFC6EFCE"/>
      <rgbColor rgb="FFFFE699"/>
      <rgbColor rgb="FFF2F2F2"/>
      <rgbColor rgb="FFFDECEC"/>
      <rgbColor rgb="FFF5F0FA"/>
      <rgbColor rgb="FFE7E6E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27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5" t="s">
        <v>4</v>
      </c>
      <c r="C6" s="4" t="s">
        <v>5</v>
      </c>
    </row>
    <row r="7" customFormat="false" ht="18" hidden="false" customHeight="true" outlineLevel="0" collapsed="false">
      <c r="B7" s="6" t="s">
        <v>6</v>
      </c>
      <c r="C7" s="4" t="s">
        <v>7</v>
      </c>
    </row>
    <row r="8" customFormat="false" ht="18" hidden="false" customHeight="true" outlineLevel="0" collapsed="false">
      <c r="B8" s="7" t="s">
        <v>8</v>
      </c>
      <c r="C8" s="4" t="s">
        <v>9</v>
      </c>
    </row>
    <row r="9" customFormat="false" ht="18" hidden="false" customHeight="true" outlineLevel="0" collapsed="false">
      <c r="B9" s="8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120" hidden="false" customHeight="true" outlineLevel="0" collapsed="false">
      <c r="B11" s="3" t="s">
        <v>14</v>
      </c>
      <c r="C11" s="4" t="s">
        <v>15</v>
      </c>
    </row>
    <row r="12" customFormat="false" ht="45" hidden="false" customHeight="true" outlineLevel="0" collapsed="false">
      <c r="B12" s="3" t="s">
        <v>16</v>
      </c>
      <c r="C12" s="4" t="s">
        <v>17</v>
      </c>
    </row>
    <row r="13" customFormat="false" ht="18" hidden="false" customHeight="true" outlineLevel="0" collapsed="false">
      <c r="B13" s="3" t="s">
        <v>18</v>
      </c>
      <c r="C1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19" min="7" style="0" width="7.5"/>
    <col collapsed="false" customWidth="true" hidden="false" outlineLevel="0" max="22" min="20" style="0" width="10"/>
    <col collapsed="false" customWidth="true" hidden="false" outlineLevel="0" max="23" min="23" style="0" width="46"/>
  </cols>
  <sheetData>
    <row r="1" customFormat="false" ht="17.35" hidden="false" customHeight="false" outlineLevel="0" collapsed="false">
      <c r="A1" s="9" t="s">
        <v>20</v>
      </c>
    </row>
    <row r="2" customFormat="false" ht="15" hidden="false" customHeight="false" outlineLevel="0" collapsed="false">
      <c r="A2" s="10" t="s">
        <v>21</v>
      </c>
    </row>
    <row r="4" customFormat="false" ht="30" hidden="false" customHeight="true" outlineLevel="0" collapsed="false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  <c r="N4" s="11" t="s">
        <v>35</v>
      </c>
      <c r="O4" s="11" t="s">
        <v>36</v>
      </c>
      <c r="P4" s="11" t="s">
        <v>37</v>
      </c>
      <c r="Q4" s="11" t="s">
        <v>38</v>
      </c>
      <c r="R4" s="11" t="s">
        <v>39</v>
      </c>
      <c r="S4" s="11" t="s">
        <v>40</v>
      </c>
      <c r="T4" s="11" t="s">
        <v>41</v>
      </c>
      <c r="U4" s="11" t="s">
        <v>42</v>
      </c>
      <c r="V4" s="11" t="s">
        <v>43</v>
      </c>
      <c r="W4" s="11" t="s">
        <v>44</v>
      </c>
    </row>
    <row r="5" customFormat="false" ht="30" hidden="false" customHeight="true" outlineLevel="0" collapsed="false">
      <c r="A5" s="12" t="n">
        <v>1</v>
      </c>
      <c r="B5" s="13" t="s">
        <v>45</v>
      </c>
      <c r="C5" s="14" t="s">
        <v>46</v>
      </c>
      <c r="D5" s="15" t="s">
        <v>47</v>
      </c>
      <c r="E5" s="15" t="s">
        <v>48</v>
      </c>
      <c r="F5" s="15" t="s">
        <v>49</v>
      </c>
      <c r="G5" s="16" t="s">
        <v>6</v>
      </c>
      <c r="H5" s="16"/>
      <c r="I5" s="16" t="s">
        <v>4</v>
      </c>
      <c r="J5" s="16" t="s">
        <v>4</v>
      </c>
      <c r="K5" s="16" t="s">
        <v>4</v>
      </c>
      <c r="L5" s="16" t="s">
        <v>4</v>
      </c>
      <c r="M5" s="16" t="s">
        <v>4</v>
      </c>
      <c r="N5" s="16" t="s">
        <v>4</v>
      </c>
      <c r="O5" s="16" t="s">
        <v>4</v>
      </c>
      <c r="P5" s="16" t="s">
        <v>4</v>
      </c>
      <c r="Q5" s="16" t="s">
        <v>4</v>
      </c>
      <c r="R5" s="16" t="s">
        <v>4</v>
      </c>
      <c r="S5" s="16" t="s">
        <v>4</v>
      </c>
      <c r="T5" s="12" t="n">
        <f aca="false">COUNTIF(G5:S5,"P")+COUNTIF(G5:S5,"R")+COUNTIF(G5:S5,"A")</f>
        <v>12</v>
      </c>
      <c r="U5" s="12" t="n">
        <f aca="false">COUNTIF(G5:S5,"R")</f>
        <v>1</v>
      </c>
      <c r="V5" s="17" t="n">
        <f aca="false">IF(T5=0,"-",U5/T5)</f>
        <v>0.0833333333333333</v>
      </c>
      <c r="W5" s="18" t="s">
        <v>50</v>
      </c>
    </row>
    <row r="6" customFormat="false" ht="30" hidden="false" customHeight="true" outlineLevel="0" collapsed="false">
      <c r="A6" s="12" t="n">
        <v>2</v>
      </c>
      <c r="B6" s="13" t="s">
        <v>45</v>
      </c>
      <c r="C6" s="14" t="s">
        <v>51</v>
      </c>
      <c r="D6" s="15" t="s">
        <v>52</v>
      </c>
      <c r="E6" s="15" t="s">
        <v>53</v>
      </c>
      <c r="F6" s="15" t="s">
        <v>54</v>
      </c>
      <c r="G6" s="16"/>
      <c r="H6" s="16"/>
      <c r="I6" s="16" t="s">
        <v>6</v>
      </c>
      <c r="J6" s="16" t="s">
        <v>4</v>
      </c>
      <c r="K6" s="16" t="s">
        <v>4</v>
      </c>
      <c r="L6" s="16" t="s">
        <v>4</v>
      </c>
      <c r="M6" s="16" t="s">
        <v>4</v>
      </c>
      <c r="N6" s="16" t="s">
        <v>4</v>
      </c>
      <c r="O6" s="16" t="s">
        <v>4</v>
      </c>
      <c r="P6" s="16" t="s">
        <v>4</v>
      </c>
      <c r="Q6" s="16" t="s">
        <v>4</v>
      </c>
      <c r="R6" s="16" t="s">
        <v>4</v>
      </c>
      <c r="S6" s="16" t="s">
        <v>4</v>
      </c>
      <c r="T6" s="12" t="n">
        <f aca="false">COUNTIF(G6:S6,"P")+COUNTIF(G6:S6,"R")+COUNTIF(G6:S6,"A")</f>
        <v>11</v>
      </c>
      <c r="U6" s="12" t="n">
        <f aca="false">COUNTIF(G6:S6,"R")</f>
        <v>1</v>
      </c>
      <c r="V6" s="17" t="n">
        <f aca="false">IF(T6=0,"-",U6/T6)</f>
        <v>0.0909090909090909</v>
      </c>
      <c r="W6" s="18" t="s">
        <v>55</v>
      </c>
    </row>
    <row r="7" customFormat="false" ht="30" hidden="false" customHeight="true" outlineLevel="0" collapsed="false">
      <c r="A7" s="12" t="n">
        <v>3</v>
      </c>
      <c r="B7" s="19" t="s">
        <v>56</v>
      </c>
      <c r="C7" s="14" t="s">
        <v>57</v>
      </c>
      <c r="D7" s="15" t="s">
        <v>58</v>
      </c>
      <c r="E7" s="15" t="s">
        <v>59</v>
      </c>
      <c r="F7" s="15" t="s">
        <v>60</v>
      </c>
      <c r="G7" s="16" t="s">
        <v>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 t="s">
        <v>4</v>
      </c>
      <c r="T7" s="12" t="n">
        <f aca="false">COUNTIF(G7:S7,"P")+COUNTIF(G7:S7,"R")+COUNTIF(G7:S7,"A")</f>
        <v>2</v>
      </c>
      <c r="U7" s="12" t="n">
        <f aca="false">COUNTIF(G7:S7,"R")</f>
        <v>1</v>
      </c>
      <c r="V7" s="17" t="n">
        <f aca="false">IF(T7=0,"-",U7/T7)</f>
        <v>0.5</v>
      </c>
      <c r="W7" s="18" t="s">
        <v>61</v>
      </c>
    </row>
    <row r="8" customFormat="false" ht="30" hidden="false" customHeight="true" outlineLevel="0" collapsed="false">
      <c r="A8" s="12" t="n">
        <v>4</v>
      </c>
      <c r="B8" s="19" t="s">
        <v>56</v>
      </c>
      <c r="C8" s="14" t="s">
        <v>62</v>
      </c>
      <c r="D8" s="15" t="s">
        <v>63</v>
      </c>
      <c r="E8" s="15" t="s">
        <v>64</v>
      </c>
      <c r="F8" s="15" t="s">
        <v>65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2" t="n">
        <f aca="false">COUNTIF(G8:S8,"P")+COUNTIF(G8:S8,"R")+COUNTIF(G8:S8,"A")</f>
        <v>0</v>
      </c>
      <c r="U8" s="12" t="n">
        <f aca="false">COUNTIF(G8:S8,"R")</f>
        <v>0</v>
      </c>
      <c r="V8" s="17" t="str">
        <f aca="false">IF(T8=0,"-",U8/T8)</f>
        <v>-</v>
      </c>
      <c r="W8" s="18" t="s">
        <v>66</v>
      </c>
    </row>
    <row r="9" customFormat="false" ht="30" hidden="false" customHeight="true" outlineLevel="0" collapsed="false">
      <c r="A9" s="12" t="n">
        <v>5</v>
      </c>
      <c r="B9" s="19" t="s">
        <v>56</v>
      </c>
      <c r="C9" s="14" t="s">
        <v>67</v>
      </c>
      <c r="D9" s="15" t="s">
        <v>68</v>
      </c>
      <c r="E9" s="15" t="s">
        <v>69</v>
      </c>
      <c r="F9" s="15" t="s">
        <v>65</v>
      </c>
      <c r="G9" s="16"/>
      <c r="H9" s="16"/>
      <c r="I9" s="16"/>
      <c r="J9" s="16" t="s">
        <v>4</v>
      </c>
      <c r="K9" s="16" t="s">
        <v>4</v>
      </c>
      <c r="L9" s="16" t="s">
        <v>4</v>
      </c>
      <c r="M9" s="16" t="s">
        <v>4</v>
      </c>
      <c r="N9" s="16" t="s">
        <v>4</v>
      </c>
      <c r="O9" s="16" t="s">
        <v>4</v>
      </c>
      <c r="P9" s="16" t="s">
        <v>4</v>
      </c>
      <c r="Q9" s="16" t="s">
        <v>4</v>
      </c>
      <c r="R9" s="16" t="s">
        <v>4</v>
      </c>
      <c r="S9" s="16" t="s">
        <v>4</v>
      </c>
      <c r="T9" s="12" t="n">
        <f aca="false">COUNTIF(G9:S9,"P")+COUNTIF(G9:S9,"R")+COUNTIF(G9:S9,"A")</f>
        <v>10</v>
      </c>
      <c r="U9" s="12" t="n">
        <f aca="false">COUNTIF(G9:S9,"R")</f>
        <v>0</v>
      </c>
      <c r="V9" s="17" t="n">
        <f aca="false">IF(T9=0,"-",U9/T9)</f>
        <v>0</v>
      </c>
      <c r="W9" s="18" t="s">
        <v>70</v>
      </c>
    </row>
    <row r="10" customFormat="false" ht="30" hidden="false" customHeight="true" outlineLevel="0" collapsed="false">
      <c r="A10" s="12" t="n">
        <v>6</v>
      </c>
      <c r="B10" s="20" t="s">
        <v>71</v>
      </c>
      <c r="C10" s="14" t="s">
        <v>72</v>
      </c>
      <c r="D10" s="15" t="s">
        <v>73</v>
      </c>
      <c r="E10" s="15" t="s">
        <v>74</v>
      </c>
      <c r="F10" s="15" t="s">
        <v>75</v>
      </c>
      <c r="G10" s="16"/>
      <c r="H10" s="16"/>
      <c r="I10" s="16"/>
      <c r="J10" s="16" t="s">
        <v>4</v>
      </c>
      <c r="K10" s="16"/>
      <c r="L10" s="16"/>
      <c r="M10" s="16"/>
      <c r="N10" s="16"/>
      <c r="O10" s="16"/>
      <c r="P10" s="16" t="s">
        <v>4</v>
      </c>
      <c r="Q10" s="16"/>
      <c r="R10" s="16"/>
      <c r="S10" s="16"/>
      <c r="T10" s="12" t="n">
        <f aca="false">COUNTIF(G10:S10,"P")+COUNTIF(G10:S10,"R")+COUNTIF(G10:S10,"A")</f>
        <v>2</v>
      </c>
      <c r="U10" s="12" t="n">
        <f aca="false">COUNTIF(G10:S10,"R")</f>
        <v>0</v>
      </c>
      <c r="V10" s="17" t="n">
        <f aca="false">IF(T10=0,"-",U10/T10)</f>
        <v>0</v>
      </c>
      <c r="W10" s="18" t="s">
        <v>76</v>
      </c>
    </row>
    <row r="11" customFormat="false" ht="30" hidden="false" customHeight="true" outlineLevel="0" collapsed="false">
      <c r="A11" s="12" t="n">
        <v>7</v>
      </c>
      <c r="B11" s="20" t="s">
        <v>71</v>
      </c>
      <c r="C11" s="14" t="s">
        <v>77</v>
      </c>
      <c r="D11" s="15" t="s">
        <v>78</v>
      </c>
      <c r="E11" s="15" t="s">
        <v>79</v>
      </c>
      <c r="F11" s="15" t="s">
        <v>80</v>
      </c>
      <c r="G11" s="16"/>
      <c r="H11" s="16"/>
      <c r="I11" s="16"/>
      <c r="J11" s="16"/>
      <c r="K11" s="16"/>
      <c r="L11" s="16"/>
      <c r="M11" s="16"/>
      <c r="N11" s="16" t="s">
        <v>4</v>
      </c>
      <c r="O11" s="16"/>
      <c r="P11" s="16"/>
      <c r="Q11" s="16"/>
      <c r="R11" s="16"/>
      <c r="S11" s="16"/>
      <c r="T11" s="12" t="n">
        <f aca="false">COUNTIF(G11:S11,"P")+COUNTIF(G11:S11,"R")+COUNTIF(G11:S11,"A")</f>
        <v>1</v>
      </c>
      <c r="U11" s="12" t="n">
        <f aca="false">COUNTIF(G11:S11,"R")</f>
        <v>0</v>
      </c>
      <c r="V11" s="17" t="n">
        <f aca="false">IF(T11=0,"-",U11/T11)</f>
        <v>0</v>
      </c>
      <c r="W11" s="18" t="s">
        <v>81</v>
      </c>
    </row>
    <row r="12" customFormat="false" ht="30" hidden="false" customHeight="true" outlineLevel="0" collapsed="false">
      <c r="A12" s="12" t="n">
        <v>8</v>
      </c>
      <c r="B12" s="21" t="s">
        <v>82</v>
      </c>
      <c r="C12" s="14" t="s">
        <v>83</v>
      </c>
      <c r="D12" s="15" t="s">
        <v>68</v>
      </c>
      <c r="E12" s="15" t="s">
        <v>84</v>
      </c>
      <c r="F12" s="15" t="s">
        <v>85</v>
      </c>
      <c r="G12" s="16"/>
      <c r="H12" s="16"/>
      <c r="I12" s="16"/>
      <c r="J12" s="16" t="s">
        <v>4</v>
      </c>
      <c r="K12" s="16" t="s">
        <v>4</v>
      </c>
      <c r="L12" s="16" t="s">
        <v>4</v>
      </c>
      <c r="M12" s="16" t="s">
        <v>4</v>
      </c>
      <c r="N12" s="16" t="s">
        <v>4</v>
      </c>
      <c r="O12" s="16" t="s">
        <v>4</v>
      </c>
      <c r="P12" s="16" t="s">
        <v>4</v>
      </c>
      <c r="Q12" s="16" t="s">
        <v>4</v>
      </c>
      <c r="R12" s="16" t="s">
        <v>4</v>
      </c>
      <c r="S12" s="16" t="s">
        <v>4</v>
      </c>
      <c r="T12" s="12" t="n">
        <f aca="false">COUNTIF(G12:S12,"P")+COUNTIF(G12:S12,"R")+COUNTIF(G12:S12,"A")</f>
        <v>10</v>
      </c>
      <c r="U12" s="12" t="n">
        <f aca="false">COUNTIF(G12:S12,"R")</f>
        <v>0</v>
      </c>
      <c r="V12" s="17" t="n">
        <f aca="false">IF(T12=0,"-",U12/T12)</f>
        <v>0</v>
      </c>
      <c r="W12" s="22"/>
    </row>
    <row r="13" customFormat="false" ht="30" hidden="false" customHeight="true" outlineLevel="0" collapsed="false">
      <c r="A13" s="12" t="n">
        <v>9</v>
      </c>
      <c r="B13" s="21" t="s">
        <v>82</v>
      </c>
      <c r="C13" s="14" t="s">
        <v>86</v>
      </c>
      <c r="D13" s="15" t="s">
        <v>87</v>
      </c>
      <c r="E13" s="15" t="s">
        <v>88</v>
      </c>
      <c r="F13" s="15" t="s">
        <v>89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2" t="n">
        <f aca="false">COUNTIF(G13:S13,"P")+COUNTIF(G13:S13,"R")+COUNTIF(G13:S13,"A")</f>
        <v>0</v>
      </c>
      <c r="U13" s="12" t="n">
        <f aca="false">COUNTIF(G13:S13,"R")</f>
        <v>0</v>
      </c>
      <c r="V13" s="17" t="str">
        <f aca="false">IF(T13=0,"-",U13/T13)</f>
        <v>-</v>
      </c>
      <c r="W13" s="18" t="s">
        <v>90</v>
      </c>
    </row>
    <row r="14" customFormat="false" ht="30" hidden="false" customHeight="true" outlineLevel="0" collapsed="false">
      <c r="A14" s="12" t="n">
        <v>10</v>
      </c>
      <c r="B14" s="21" t="s">
        <v>82</v>
      </c>
      <c r="C14" s="14" t="s">
        <v>91</v>
      </c>
      <c r="D14" s="15" t="s">
        <v>68</v>
      </c>
      <c r="E14" s="15" t="s">
        <v>84</v>
      </c>
      <c r="F14" s="15" t="s">
        <v>92</v>
      </c>
      <c r="G14" s="16"/>
      <c r="H14" s="16"/>
      <c r="I14" s="16"/>
      <c r="J14" s="16" t="s">
        <v>4</v>
      </c>
      <c r="K14" s="16" t="s">
        <v>4</v>
      </c>
      <c r="L14" s="16" t="s">
        <v>4</v>
      </c>
      <c r="M14" s="16" t="s">
        <v>4</v>
      </c>
      <c r="N14" s="16" t="s">
        <v>4</v>
      </c>
      <c r="O14" s="16" t="s">
        <v>4</v>
      </c>
      <c r="P14" s="16" t="s">
        <v>4</v>
      </c>
      <c r="Q14" s="16" t="s">
        <v>4</v>
      </c>
      <c r="R14" s="16" t="s">
        <v>4</v>
      </c>
      <c r="S14" s="16" t="s">
        <v>4</v>
      </c>
      <c r="T14" s="12" t="n">
        <f aca="false">COUNTIF(G14:S14,"P")+COUNTIF(G14:S14,"R")+COUNTIF(G14:S14,"A")</f>
        <v>10</v>
      </c>
      <c r="U14" s="12" t="n">
        <f aca="false">COUNTIF(G14:S14,"R")</f>
        <v>0</v>
      </c>
      <c r="V14" s="17" t="n">
        <f aca="false">IF(T14=0,"-",U14/T14)</f>
        <v>0</v>
      </c>
      <c r="W14" s="22"/>
    </row>
    <row r="15" customFormat="false" ht="30" hidden="false" customHeight="true" outlineLevel="0" collapsed="false">
      <c r="A15" s="12" t="n">
        <v>11</v>
      </c>
      <c r="B15" s="21" t="s">
        <v>82</v>
      </c>
      <c r="C15" s="14" t="s">
        <v>93</v>
      </c>
      <c r="D15" s="15" t="s">
        <v>94</v>
      </c>
      <c r="E15" s="15" t="s">
        <v>95</v>
      </c>
      <c r="F15" s="15" t="s">
        <v>96</v>
      </c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 t="s">
        <v>4</v>
      </c>
      <c r="T15" s="12" t="n">
        <f aca="false">COUNTIF(G15:S15,"P")+COUNTIF(G15:S15,"R")+COUNTIF(G15:S15,"A")</f>
        <v>2</v>
      </c>
      <c r="U15" s="12" t="n">
        <f aca="false">COUNTIF(G15:S15,"R")</f>
        <v>0</v>
      </c>
      <c r="V15" s="17" t="n">
        <f aca="false">IF(T15=0,"-",U15/T15)</f>
        <v>0</v>
      </c>
      <c r="W15" s="18" t="s">
        <v>97</v>
      </c>
    </row>
    <row r="16" customFormat="false" ht="30" hidden="false" customHeight="true" outlineLevel="0" collapsed="false">
      <c r="A16" s="12" t="n">
        <v>12</v>
      </c>
      <c r="B16" s="21" t="s">
        <v>82</v>
      </c>
      <c r="C16" s="14" t="s">
        <v>98</v>
      </c>
      <c r="D16" s="15" t="s">
        <v>68</v>
      </c>
      <c r="E16" s="15" t="s">
        <v>69</v>
      </c>
      <c r="F16" s="15" t="s">
        <v>99</v>
      </c>
      <c r="G16" s="16"/>
      <c r="H16" s="16"/>
      <c r="I16" s="16"/>
      <c r="J16" s="16" t="s">
        <v>4</v>
      </c>
      <c r="K16" s="16" t="s">
        <v>4</v>
      </c>
      <c r="L16" s="16" t="s">
        <v>4</v>
      </c>
      <c r="M16" s="16" t="s">
        <v>4</v>
      </c>
      <c r="N16" s="16" t="s">
        <v>4</v>
      </c>
      <c r="O16" s="16" t="s">
        <v>4</v>
      </c>
      <c r="P16" s="16" t="s">
        <v>4</v>
      </c>
      <c r="Q16" s="16" t="s">
        <v>4</v>
      </c>
      <c r="R16" s="16" t="s">
        <v>4</v>
      </c>
      <c r="S16" s="16" t="s">
        <v>4</v>
      </c>
      <c r="T16" s="12" t="n">
        <f aca="false">COUNTIF(G16:S16,"P")+COUNTIF(G16:S16,"R")+COUNTIF(G16:S16,"A")</f>
        <v>10</v>
      </c>
      <c r="U16" s="12" t="n">
        <f aca="false">COUNTIF(G16:S16,"R")</f>
        <v>0</v>
      </c>
      <c r="V16" s="17" t="n">
        <f aca="false">IF(T16=0,"-",U16/T16)</f>
        <v>0</v>
      </c>
      <c r="W16" s="18" t="s">
        <v>100</v>
      </c>
    </row>
    <row r="17" customFormat="false" ht="30" hidden="false" customHeight="true" outlineLevel="0" collapsed="false">
      <c r="A17" s="12" t="n">
        <v>13</v>
      </c>
      <c r="B17" s="21" t="s">
        <v>82</v>
      </c>
      <c r="C17" s="14" t="s">
        <v>101</v>
      </c>
      <c r="D17" s="15" t="s">
        <v>102</v>
      </c>
      <c r="E17" s="15" t="s">
        <v>64</v>
      </c>
      <c r="F17" s="15" t="s">
        <v>99</v>
      </c>
      <c r="G17" s="16"/>
      <c r="H17" s="16"/>
      <c r="I17" s="16"/>
      <c r="J17" s="16" t="s">
        <v>4</v>
      </c>
      <c r="K17" s="16" t="s">
        <v>4</v>
      </c>
      <c r="L17" s="16" t="s">
        <v>4</v>
      </c>
      <c r="M17" s="16" t="s">
        <v>4</v>
      </c>
      <c r="N17" s="16" t="s">
        <v>4</v>
      </c>
      <c r="O17" s="16" t="s">
        <v>4</v>
      </c>
      <c r="P17" s="16" t="s">
        <v>4</v>
      </c>
      <c r="Q17" s="16" t="s">
        <v>4</v>
      </c>
      <c r="R17" s="16" t="s">
        <v>4</v>
      </c>
      <c r="S17" s="16" t="s">
        <v>4</v>
      </c>
      <c r="T17" s="12" t="n">
        <f aca="false">COUNTIF(G17:S17,"P")+COUNTIF(G17:S17,"R")+COUNTIF(G17:S17,"A")</f>
        <v>10</v>
      </c>
      <c r="U17" s="12" t="n">
        <f aca="false">COUNTIF(G17:S17,"R")</f>
        <v>0</v>
      </c>
      <c r="V17" s="17" t="n">
        <f aca="false">IF(T17=0,"-",U17/T17)</f>
        <v>0</v>
      </c>
      <c r="W17" s="18" t="s">
        <v>100</v>
      </c>
    </row>
    <row r="18" customFormat="false" ht="30" hidden="false" customHeight="true" outlineLevel="0" collapsed="false">
      <c r="A18" s="12" t="n">
        <v>14</v>
      </c>
      <c r="B18" s="21" t="s">
        <v>82</v>
      </c>
      <c r="C18" s="14" t="s">
        <v>103</v>
      </c>
      <c r="D18" s="15" t="s">
        <v>68</v>
      </c>
      <c r="E18" s="15" t="s">
        <v>104</v>
      </c>
      <c r="F18" s="15" t="s">
        <v>105</v>
      </c>
      <c r="G18" s="16"/>
      <c r="H18" s="16"/>
      <c r="I18" s="16"/>
      <c r="J18" s="16" t="s">
        <v>4</v>
      </c>
      <c r="K18" s="16" t="s">
        <v>4</v>
      </c>
      <c r="L18" s="16" t="s">
        <v>4</v>
      </c>
      <c r="M18" s="16" t="s">
        <v>4</v>
      </c>
      <c r="N18" s="16" t="s">
        <v>4</v>
      </c>
      <c r="O18" s="16" t="s">
        <v>4</v>
      </c>
      <c r="P18" s="16" t="s">
        <v>4</v>
      </c>
      <c r="Q18" s="16" t="s">
        <v>4</v>
      </c>
      <c r="R18" s="16" t="s">
        <v>4</v>
      </c>
      <c r="S18" s="16" t="s">
        <v>4</v>
      </c>
      <c r="T18" s="12" t="n">
        <f aca="false">COUNTIF(G18:S18,"P")+COUNTIF(G18:S18,"R")+COUNTIF(G18:S18,"A")</f>
        <v>10</v>
      </c>
      <c r="U18" s="12" t="n">
        <f aca="false">COUNTIF(G18:S18,"R")</f>
        <v>0</v>
      </c>
      <c r="V18" s="17" t="n">
        <f aca="false">IF(T18=0,"-",U18/T18)</f>
        <v>0</v>
      </c>
      <c r="W18" s="22"/>
    </row>
    <row r="19" customFormat="false" ht="30" hidden="false" customHeight="true" outlineLevel="0" collapsed="false">
      <c r="A19" s="12" t="n">
        <v>15</v>
      </c>
      <c r="B19" s="21" t="s">
        <v>82</v>
      </c>
      <c r="C19" s="14" t="s">
        <v>106</v>
      </c>
      <c r="D19" s="15" t="s">
        <v>68</v>
      </c>
      <c r="E19" s="15" t="s">
        <v>107</v>
      </c>
      <c r="F19" s="15" t="s">
        <v>108</v>
      </c>
      <c r="G19" s="16"/>
      <c r="H19" s="16"/>
      <c r="I19" s="16"/>
      <c r="J19" s="16" t="s">
        <v>4</v>
      </c>
      <c r="K19" s="16" t="s">
        <v>4</v>
      </c>
      <c r="L19" s="16" t="s">
        <v>4</v>
      </c>
      <c r="M19" s="16" t="s">
        <v>4</v>
      </c>
      <c r="N19" s="16" t="s">
        <v>4</v>
      </c>
      <c r="O19" s="16" t="s">
        <v>4</v>
      </c>
      <c r="P19" s="16" t="s">
        <v>4</v>
      </c>
      <c r="Q19" s="16" t="s">
        <v>4</v>
      </c>
      <c r="R19" s="16" t="s">
        <v>4</v>
      </c>
      <c r="S19" s="16" t="s">
        <v>4</v>
      </c>
      <c r="T19" s="12" t="n">
        <f aca="false">COUNTIF(G19:S19,"P")+COUNTIF(G19:S19,"R")+COUNTIF(G19:S19,"A")</f>
        <v>10</v>
      </c>
      <c r="U19" s="12" t="n">
        <f aca="false">COUNTIF(G19:S19,"R")</f>
        <v>0</v>
      </c>
      <c r="V19" s="17" t="n">
        <f aca="false">IF(T19=0,"-",U19/T19)</f>
        <v>0</v>
      </c>
      <c r="W19" s="22"/>
    </row>
    <row r="20" customFormat="false" ht="30" hidden="false" customHeight="true" outlineLevel="0" collapsed="false">
      <c r="A20" s="12" t="n">
        <v>16</v>
      </c>
      <c r="B20" s="21" t="s">
        <v>82</v>
      </c>
      <c r="C20" s="14" t="s">
        <v>109</v>
      </c>
      <c r="D20" s="15" t="s">
        <v>110</v>
      </c>
      <c r="E20" s="15" t="s">
        <v>111</v>
      </c>
      <c r="F20" s="15" t="s">
        <v>112</v>
      </c>
      <c r="G20" s="16"/>
      <c r="H20" s="16"/>
      <c r="I20" s="16"/>
      <c r="J20" s="16" t="s">
        <v>4</v>
      </c>
      <c r="K20" s="16"/>
      <c r="L20" s="16"/>
      <c r="M20" s="16" t="s">
        <v>4</v>
      </c>
      <c r="N20" s="16"/>
      <c r="O20" s="16"/>
      <c r="P20" s="16" t="s">
        <v>4</v>
      </c>
      <c r="Q20" s="16"/>
      <c r="R20" s="16"/>
      <c r="S20" s="16" t="s">
        <v>4</v>
      </c>
      <c r="T20" s="12" t="n">
        <f aca="false">COUNTIF(G20:S20,"P")+COUNTIF(G20:S20,"R")+COUNTIF(G20:S20,"A")</f>
        <v>4</v>
      </c>
      <c r="U20" s="12" t="n">
        <f aca="false">COUNTIF(G20:S20,"R")</f>
        <v>0</v>
      </c>
      <c r="V20" s="17" t="n">
        <f aca="false">IF(T20=0,"-",U20/T20)</f>
        <v>0</v>
      </c>
      <c r="W20" s="18" t="s">
        <v>113</v>
      </c>
    </row>
    <row r="21" customFormat="false" ht="30" hidden="false" customHeight="true" outlineLevel="0" collapsed="false">
      <c r="A21" s="12" t="n">
        <v>17</v>
      </c>
      <c r="B21" s="23" t="s">
        <v>114</v>
      </c>
      <c r="C21" s="14" t="s">
        <v>115</v>
      </c>
      <c r="D21" s="15" t="s">
        <v>116</v>
      </c>
      <c r="E21" s="15" t="s">
        <v>117</v>
      </c>
      <c r="F21" s="15" t="s">
        <v>118</v>
      </c>
      <c r="G21" s="16"/>
      <c r="H21" s="16"/>
      <c r="I21" s="16"/>
      <c r="J21" s="16" t="s">
        <v>4</v>
      </c>
      <c r="K21" s="16" t="s">
        <v>4</v>
      </c>
      <c r="L21" s="16" t="s">
        <v>4</v>
      </c>
      <c r="M21" s="16" t="s">
        <v>4</v>
      </c>
      <c r="N21" s="16" t="s">
        <v>4</v>
      </c>
      <c r="O21" s="16" t="s">
        <v>4</v>
      </c>
      <c r="P21" s="16" t="s">
        <v>4</v>
      </c>
      <c r="Q21" s="16" t="s">
        <v>4</v>
      </c>
      <c r="R21" s="16" t="s">
        <v>4</v>
      </c>
      <c r="S21" s="16" t="s">
        <v>4</v>
      </c>
      <c r="T21" s="12" t="n">
        <f aca="false">COUNTIF(G21:S21,"P")+COUNTIF(G21:S21,"R")+COUNTIF(G21:S21,"A")</f>
        <v>10</v>
      </c>
      <c r="U21" s="12" t="n">
        <f aca="false">COUNTIF(G21:S21,"R")</f>
        <v>0</v>
      </c>
      <c r="V21" s="17" t="n">
        <f aca="false">IF(T21=0,"-",U21/T21)</f>
        <v>0</v>
      </c>
      <c r="W21" s="22"/>
    </row>
    <row r="22" customFormat="false" ht="30" hidden="false" customHeight="true" outlineLevel="0" collapsed="false">
      <c r="A22" s="12" t="n">
        <v>18</v>
      </c>
      <c r="B22" s="23" t="s">
        <v>114</v>
      </c>
      <c r="C22" s="14" t="s">
        <v>119</v>
      </c>
      <c r="D22" s="15" t="s">
        <v>110</v>
      </c>
      <c r="E22" s="15" t="s">
        <v>64</v>
      </c>
      <c r="F22" s="15" t="s">
        <v>120</v>
      </c>
      <c r="G22" s="16"/>
      <c r="H22" s="16"/>
      <c r="I22" s="16"/>
      <c r="J22" s="16" t="s">
        <v>4</v>
      </c>
      <c r="K22" s="16"/>
      <c r="L22" s="16"/>
      <c r="M22" s="16" t="s">
        <v>4</v>
      </c>
      <c r="N22" s="16"/>
      <c r="O22" s="16"/>
      <c r="P22" s="16" t="s">
        <v>4</v>
      </c>
      <c r="Q22" s="16"/>
      <c r="R22" s="16"/>
      <c r="S22" s="16" t="s">
        <v>4</v>
      </c>
      <c r="T22" s="12" t="n">
        <f aca="false">COUNTIF(G22:S22,"P")+COUNTIF(G22:S22,"R")+COUNTIF(G22:S22,"A")</f>
        <v>4</v>
      </c>
      <c r="U22" s="12" t="n">
        <f aca="false">COUNTIF(G22:S22,"R")</f>
        <v>0</v>
      </c>
      <c r="V22" s="17" t="n">
        <f aca="false">IF(T22=0,"-",U22/T22)</f>
        <v>0</v>
      </c>
      <c r="W22" s="22"/>
    </row>
    <row r="23" customFormat="false" ht="30" hidden="false" customHeight="true" outlineLevel="0" collapsed="false">
      <c r="A23" s="12" t="n">
        <v>19</v>
      </c>
      <c r="B23" s="23" t="s">
        <v>114</v>
      </c>
      <c r="C23" s="14" t="s">
        <v>121</v>
      </c>
      <c r="D23" s="15" t="s">
        <v>58</v>
      </c>
      <c r="E23" s="15" t="s">
        <v>122</v>
      </c>
      <c r="F23" s="15" t="s">
        <v>123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 t="s">
        <v>4</v>
      </c>
      <c r="R23" s="16"/>
      <c r="S23" s="16"/>
      <c r="T23" s="12" t="n">
        <f aca="false">COUNTIF(G23:S23,"P")+COUNTIF(G23:S23,"R")+COUNTIF(G23:S23,"A")</f>
        <v>1</v>
      </c>
      <c r="U23" s="12" t="n">
        <f aca="false">COUNTIF(G23:S23,"R")</f>
        <v>0</v>
      </c>
      <c r="V23" s="17" t="n">
        <f aca="false">IF(T23=0,"-",U23/T23)</f>
        <v>0</v>
      </c>
      <c r="W23" s="18" t="s">
        <v>124</v>
      </c>
    </row>
    <row r="24" customFormat="false" ht="30" hidden="false" customHeight="true" outlineLevel="0" collapsed="false">
      <c r="A24" s="12" t="n">
        <v>20</v>
      </c>
      <c r="B24" s="24" t="s">
        <v>125</v>
      </c>
      <c r="C24" s="14" t="s">
        <v>126</v>
      </c>
      <c r="D24" s="15" t="s">
        <v>58</v>
      </c>
      <c r="E24" s="15" t="s">
        <v>127</v>
      </c>
      <c r="F24" s="15" t="s">
        <v>128</v>
      </c>
      <c r="G24" s="16"/>
      <c r="H24" s="16"/>
      <c r="I24" s="16"/>
      <c r="J24" s="16"/>
      <c r="K24" s="16"/>
      <c r="L24" s="16"/>
      <c r="M24" s="16"/>
      <c r="N24" s="16"/>
      <c r="O24" s="16" t="s">
        <v>4</v>
      </c>
      <c r="P24" s="16"/>
      <c r="Q24" s="16"/>
      <c r="R24" s="16"/>
      <c r="S24" s="16"/>
      <c r="T24" s="12" t="n">
        <f aca="false">COUNTIF(G24:S24,"P")+COUNTIF(G24:S24,"R")+COUNTIF(G24:S24,"A")</f>
        <v>1</v>
      </c>
      <c r="U24" s="12" t="n">
        <f aca="false">COUNTIF(G24:S24,"R")</f>
        <v>0</v>
      </c>
      <c r="V24" s="17" t="n">
        <f aca="false">IF(T24=0,"-",U24/T24)</f>
        <v>0</v>
      </c>
      <c r="W24" s="18" t="s">
        <v>129</v>
      </c>
    </row>
    <row r="25" customFormat="false" ht="30" hidden="false" customHeight="true" outlineLevel="0" collapsed="false">
      <c r="A25" s="12" t="n">
        <v>21</v>
      </c>
      <c r="B25" s="24" t="s">
        <v>125</v>
      </c>
      <c r="C25" s="14" t="s">
        <v>130</v>
      </c>
      <c r="D25" s="15" t="s">
        <v>110</v>
      </c>
      <c r="E25" s="15" t="s">
        <v>131</v>
      </c>
      <c r="F25" s="15" t="s">
        <v>132</v>
      </c>
      <c r="G25" s="16"/>
      <c r="H25" s="16"/>
      <c r="I25" s="16"/>
      <c r="J25" s="16" t="s">
        <v>4</v>
      </c>
      <c r="K25" s="16"/>
      <c r="L25" s="16"/>
      <c r="M25" s="16" t="s">
        <v>4</v>
      </c>
      <c r="N25" s="16"/>
      <c r="O25" s="16"/>
      <c r="P25" s="16" t="s">
        <v>4</v>
      </c>
      <c r="Q25" s="16"/>
      <c r="R25" s="16"/>
      <c r="S25" s="16" t="s">
        <v>4</v>
      </c>
      <c r="T25" s="12" t="n">
        <f aca="false">COUNTIF(G25:S25,"P")+COUNTIF(G25:S25,"R")+COUNTIF(G25:S25,"A")</f>
        <v>4</v>
      </c>
      <c r="U25" s="12" t="n">
        <f aca="false">COUNTIF(G25:S25,"R")</f>
        <v>0</v>
      </c>
      <c r="V25" s="17" t="n">
        <f aca="false">IF(T25=0,"-",U25/T25)</f>
        <v>0</v>
      </c>
      <c r="W25" s="18" t="s">
        <v>133</v>
      </c>
    </row>
    <row r="26" customFormat="false" ht="30" hidden="false" customHeight="true" outlineLevel="0" collapsed="false">
      <c r="A26" s="12" t="n">
        <v>22</v>
      </c>
      <c r="B26" s="25" t="s">
        <v>134</v>
      </c>
      <c r="C26" s="14" t="s">
        <v>135</v>
      </c>
      <c r="D26" s="15" t="s">
        <v>58</v>
      </c>
      <c r="E26" s="15" t="s">
        <v>136</v>
      </c>
      <c r="F26" s="15" t="s">
        <v>137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 t="s">
        <v>4</v>
      </c>
      <c r="S26" s="16"/>
      <c r="T26" s="12" t="n">
        <f aca="false">COUNTIF(G26:S26,"P")+COUNTIF(G26:S26,"R")+COUNTIF(G26:S26,"A")</f>
        <v>1</v>
      </c>
      <c r="U26" s="12" t="n">
        <f aca="false">COUNTIF(G26:S26,"R")</f>
        <v>0</v>
      </c>
      <c r="V26" s="17" t="n">
        <f aca="false">IF(T26=0,"-",U26/T26)</f>
        <v>0</v>
      </c>
      <c r="W26" s="22"/>
    </row>
    <row r="27" customFormat="false" ht="30" hidden="false" customHeight="true" outlineLevel="0" collapsed="false">
      <c r="A27" s="12" t="n">
        <v>23</v>
      </c>
      <c r="B27" s="25" t="s">
        <v>134</v>
      </c>
      <c r="C27" s="14" t="s">
        <v>138</v>
      </c>
      <c r="D27" s="15" t="s">
        <v>58</v>
      </c>
      <c r="E27" s="15" t="s">
        <v>139</v>
      </c>
      <c r="F27" s="15" t="s">
        <v>140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 t="s">
        <v>4</v>
      </c>
      <c r="S27" s="16"/>
      <c r="T27" s="12" t="n">
        <f aca="false">COUNTIF(G27:S27,"P")+COUNTIF(G27:S27,"R")+COUNTIF(G27:S27,"A")</f>
        <v>1</v>
      </c>
      <c r="U27" s="12" t="n">
        <f aca="false">COUNTIF(G27:S27,"R")</f>
        <v>0</v>
      </c>
      <c r="V27" s="17" t="n">
        <f aca="false">IF(T27=0,"-",U27/T27)</f>
        <v>0</v>
      </c>
      <c r="W27" s="18" t="s">
        <v>141</v>
      </c>
    </row>
    <row r="29" customFormat="false" ht="15" hidden="false" customHeight="false" outlineLevel="0" collapsed="false">
      <c r="C29" s="26" t="s">
        <v>142</v>
      </c>
      <c r="G29" s="27" t="n">
        <f aca="false">COUNTIF(G5:G27,"P")+COUNTIF(G5:G27,"R")+COUNTIF(G5:G27,"A")</f>
        <v>2</v>
      </c>
      <c r="H29" s="27" t="n">
        <f aca="false">COUNTIF(H5:H27,"P")+COUNTIF(H5:H27,"R")+COUNTIF(H5:H27,"A")</f>
        <v>0</v>
      </c>
      <c r="I29" s="27" t="n">
        <f aca="false">COUNTIF(I5:I27,"P")+COUNTIF(I5:I27,"R")+COUNTIF(I5:I27,"A")</f>
        <v>2</v>
      </c>
      <c r="J29" s="27" t="n">
        <f aca="false">COUNTIF(J5:J27,"P")+COUNTIF(J5:J27,"R")+COUNTIF(J5:J27,"A")</f>
        <v>14</v>
      </c>
      <c r="K29" s="27" t="n">
        <f aca="false">COUNTIF(K5:K27,"P")+COUNTIF(K5:K27,"R")+COUNTIF(K5:K27,"A")</f>
        <v>10</v>
      </c>
      <c r="L29" s="27" t="n">
        <f aca="false">COUNTIF(L5:L27,"P")+COUNTIF(L5:L27,"R")+COUNTIF(L5:L27,"A")</f>
        <v>10</v>
      </c>
      <c r="M29" s="27" t="n">
        <f aca="false">COUNTIF(M5:M27,"P")+COUNTIF(M5:M27,"R")+COUNTIF(M5:M27,"A")</f>
        <v>14</v>
      </c>
      <c r="N29" s="27" t="n">
        <f aca="false">COUNTIF(N5:N27,"P")+COUNTIF(N5:N27,"R")+COUNTIF(N5:N27,"A")</f>
        <v>11</v>
      </c>
      <c r="O29" s="27" t="n">
        <f aca="false">COUNTIF(O5:O27,"P")+COUNTIF(O5:O27,"R")+COUNTIF(O5:O27,"A")</f>
        <v>11</v>
      </c>
      <c r="P29" s="27" t="n">
        <f aca="false">COUNTIF(P5:P27,"P")+COUNTIF(P5:P27,"R")+COUNTIF(P5:P27,"A")</f>
        <v>14</v>
      </c>
      <c r="Q29" s="27" t="n">
        <f aca="false">COUNTIF(Q5:Q27,"P")+COUNTIF(Q5:Q27,"R")+COUNTIF(Q5:Q27,"A")</f>
        <v>11</v>
      </c>
      <c r="R29" s="27" t="n">
        <f aca="false">COUNTIF(R5:R27,"P")+COUNTIF(R5:R27,"R")+COUNTIF(R5:R27,"A")</f>
        <v>12</v>
      </c>
      <c r="S29" s="27" t="n">
        <f aca="false">COUNTIF(S5:S27,"P")+COUNTIF(S5:S27,"R")+COUNTIF(S5:S27,"A")</f>
        <v>15</v>
      </c>
      <c r="T29" s="27" t="n">
        <f aca="false">SUM(T5:T27)</f>
        <v>126</v>
      </c>
    </row>
    <row r="30" customFormat="false" ht="15" hidden="false" customHeight="false" outlineLevel="0" collapsed="false">
      <c r="C30" s="26" t="s">
        <v>143</v>
      </c>
      <c r="G30" s="27" t="n">
        <f aca="false">COUNTIF(G5:G27,"R")</f>
        <v>2</v>
      </c>
      <c r="H30" s="27" t="n">
        <f aca="false">COUNTIF(H5:H27,"R")</f>
        <v>0</v>
      </c>
      <c r="I30" s="27" t="n">
        <f aca="false">COUNTIF(I5:I27,"R")</f>
        <v>1</v>
      </c>
      <c r="J30" s="27" t="n">
        <f aca="false">COUNTIF(J5:J27,"R")</f>
        <v>0</v>
      </c>
      <c r="K30" s="27" t="n">
        <f aca="false">COUNTIF(K5:K27,"R")</f>
        <v>0</v>
      </c>
      <c r="L30" s="27" t="n">
        <f aca="false">COUNTIF(L5:L27,"R")</f>
        <v>0</v>
      </c>
      <c r="M30" s="27" t="n">
        <f aca="false">COUNTIF(M5:M27,"R")</f>
        <v>0</v>
      </c>
      <c r="N30" s="27" t="n">
        <f aca="false">COUNTIF(N5:N27,"R")</f>
        <v>0</v>
      </c>
      <c r="O30" s="27" t="n">
        <f aca="false">COUNTIF(O5:O27,"R")</f>
        <v>0</v>
      </c>
      <c r="P30" s="27" t="n">
        <f aca="false">COUNTIF(P5:P27,"R")</f>
        <v>0</v>
      </c>
      <c r="Q30" s="27" t="n">
        <f aca="false">COUNTIF(Q5:Q27,"R")</f>
        <v>0</v>
      </c>
      <c r="R30" s="27" t="n">
        <f aca="false">COUNTIF(R5:R27,"R")</f>
        <v>0</v>
      </c>
      <c r="S30" s="27" t="n">
        <f aca="false">COUNTIF(S5:S27,"R")</f>
        <v>0</v>
      </c>
      <c r="U30" s="27" t="n">
        <f aca="false">SUM(U5:U27)</f>
        <v>3</v>
      </c>
    </row>
    <row r="31" customFormat="false" ht="15" hidden="false" customHeight="false" outlineLevel="0" collapsed="false">
      <c r="C31" s="26" t="s">
        <v>144</v>
      </c>
      <c r="G31" s="28" t="n">
        <f aca="false">IF(G29=0,"-",G30/G29)</f>
        <v>1</v>
      </c>
      <c r="H31" s="28" t="str">
        <f aca="false">IF(H29=0,"-",H30/H29)</f>
        <v>-</v>
      </c>
      <c r="I31" s="28" t="n">
        <f aca="false">IF(I29=0,"-",I30/I29)</f>
        <v>0.5</v>
      </c>
      <c r="J31" s="28" t="n">
        <f aca="false">IF(J29=0,"-",J30/J29)</f>
        <v>0</v>
      </c>
      <c r="K31" s="28" t="n">
        <f aca="false">IF(K29=0,"-",K30/K29)</f>
        <v>0</v>
      </c>
      <c r="L31" s="28" t="n">
        <f aca="false">IF(L29=0,"-",L30/L29)</f>
        <v>0</v>
      </c>
      <c r="M31" s="28" t="n">
        <f aca="false">IF(M29=0,"-",M30/M29)</f>
        <v>0</v>
      </c>
      <c r="N31" s="28" t="n">
        <f aca="false">IF(N29=0,"-",N30/N29)</f>
        <v>0</v>
      </c>
      <c r="O31" s="28" t="n">
        <f aca="false">IF(O29=0,"-",O30/O29)</f>
        <v>0</v>
      </c>
      <c r="P31" s="28" t="n">
        <f aca="false">IF(P29=0,"-",P30/P29)</f>
        <v>0</v>
      </c>
      <c r="Q31" s="28" t="n">
        <f aca="false">IF(Q29=0,"-",Q30/Q29)</f>
        <v>0</v>
      </c>
      <c r="R31" s="28" t="n">
        <f aca="false">IF(R29=0,"-",R30/R29)</f>
        <v>0</v>
      </c>
      <c r="S31" s="28" t="n">
        <f aca="false">IF(S29=0,"-",S30/S29)</f>
        <v>0</v>
      </c>
      <c r="T31" s="29" t="s">
        <v>145</v>
      </c>
      <c r="V31" s="30" t="n">
        <f aca="false">IF(T29=0,"-",U30/T29)</f>
        <v>0.0238095238095238</v>
      </c>
    </row>
  </sheetData>
  <autoFilter ref="A4:W27"/>
  <conditionalFormatting sqref="G5:S27">
    <cfRule type="cellIs" priority="2" operator="equal" aboveAverage="0" equalAverage="0" bottom="0" percent="0" rank="0" text="" dxfId="16">
      <formula>"P"</formula>
    </cfRule>
    <cfRule type="cellIs" priority="3" operator="equal" aboveAverage="0" equalAverage="0" bottom="0" percent="0" rank="0" text="" dxfId="17">
      <formula>"R"</formula>
    </cfRule>
    <cfRule type="cellIs" priority="4" operator="equal" aboveAverage="0" equalAverage="0" bottom="0" percent="0" rank="0" text="" dxfId="18">
      <formula>"A"</formula>
    </cfRule>
    <cfRule type="cellIs" priority="5" operator="equal" aboveAverage="0" equalAverage="0" bottom="0" percent="0" rank="0" text="" dxfId="19">
      <formula>"C"</formula>
    </cfRule>
  </conditionalFormatting>
  <dataValidations count="1">
    <dataValidation allowBlank="true" error="Use P (prevista), R (realizada), A (adiada) ou C (cancelada)." errorStyle="stop" errorTitle="Valor inválido" operator="between" showDropDown="false" showErrorMessage="true" showInputMessage="false" sqref="G5:S27" type="list">
      <formula1>"P,R,A,C"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9" t="s">
        <v>146</v>
      </c>
    </row>
    <row r="3" customFormat="false" ht="15" hidden="false" customHeight="false" outlineLevel="0" collapsed="false">
      <c r="A3" s="31" t="s">
        <v>23</v>
      </c>
      <c r="B3" s="31" t="s">
        <v>147</v>
      </c>
      <c r="C3" s="31" t="s">
        <v>41</v>
      </c>
      <c r="D3" s="31" t="s">
        <v>42</v>
      </c>
      <c r="E3" s="31" t="s">
        <v>43</v>
      </c>
    </row>
    <row r="4" customFormat="false" ht="15" hidden="false" customHeight="false" outlineLevel="0" collapsed="false">
      <c r="A4" s="32" t="s">
        <v>45</v>
      </c>
      <c r="B4" s="33" t="n">
        <f aca="false">COUNTIF(Cronograma!$B$5:$B$27,A4)</f>
        <v>2</v>
      </c>
      <c r="C4" s="33" t="n">
        <f aca="false">SUMIF(Cronograma!$B$5:$B$27,A4,Cronograma!$T$5:$T$27)</f>
        <v>23</v>
      </c>
      <c r="D4" s="33" t="n">
        <f aca="false">SUMIF(Cronograma!$B$5:$B$27,A4,Cronograma!$U$5:$U$27)</f>
        <v>2</v>
      </c>
      <c r="E4" s="34" t="n">
        <f aca="false">IF(C4=0,"-",D4/C4)</f>
        <v>0.0869565217391304</v>
      </c>
    </row>
    <row r="5" customFormat="false" ht="15" hidden="false" customHeight="false" outlineLevel="0" collapsed="false">
      <c r="A5" s="35" t="s">
        <v>56</v>
      </c>
      <c r="B5" s="33" t="n">
        <f aca="false">COUNTIF(Cronograma!$B$5:$B$27,A5)</f>
        <v>3</v>
      </c>
      <c r="C5" s="33" t="n">
        <f aca="false">SUMIF(Cronograma!$B$5:$B$27,A5,Cronograma!$T$5:$T$27)</f>
        <v>12</v>
      </c>
      <c r="D5" s="33" t="n">
        <f aca="false">SUMIF(Cronograma!$B$5:$B$27,A5,Cronograma!$U$5:$U$27)</f>
        <v>1</v>
      </c>
      <c r="E5" s="34" t="n">
        <f aca="false">IF(C5=0,"-",D5/C5)</f>
        <v>0.0833333333333333</v>
      </c>
    </row>
    <row r="6" customFormat="false" ht="15" hidden="false" customHeight="false" outlineLevel="0" collapsed="false">
      <c r="A6" s="36" t="s">
        <v>71</v>
      </c>
      <c r="B6" s="33" t="n">
        <f aca="false">COUNTIF(Cronograma!$B$5:$B$27,A6)</f>
        <v>2</v>
      </c>
      <c r="C6" s="33" t="n">
        <f aca="false">SUMIF(Cronograma!$B$5:$B$27,A6,Cronograma!$T$5:$T$27)</f>
        <v>3</v>
      </c>
      <c r="D6" s="33" t="n">
        <f aca="false">SUMIF(Cronograma!$B$5:$B$27,A6,Cronograma!$U$5:$U$27)</f>
        <v>0</v>
      </c>
      <c r="E6" s="34" t="n">
        <f aca="false">IF(C6=0,"-",D6/C6)</f>
        <v>0</v>
      </c>
    </row>
    <row r="7" customFormat="false" ht="15" hidden="false" customHeight="false" outlineLevel="0" collapsed="false">
      <c r="A7" s="37" t="s">
        <v>82</v>
      </c>
      <c r="B7" s="33" t="n">
        <f aca="false">COUNTIF(Cronograma!$B$5:$B$27,A7)</f>
        <v>9</v>
      </c>
      <c r="C7" s="33" t="n">
        <f aca="false">SUMIF(Cronograma!$B$5:$B$27,A7,Cronograma!$T$5:$T$27)</f>
        <v>66</v>
      </c>
      <c r="D7" s="33" t="n">
        <f aca="false">SUMIF(Cronograma!$B$5:$B$27,A7,Cronograma!$U$5:$U$27)</f>
        <v>0</v>
      </c>
      <c r="E7" s="34" t="n">
        <f aca="false">IF(C7=0,"-",D7/C7)</f>
        <v>0</v>
      </c>
    </row>
    <row r="8" customFormat="false" ht="15" hidden="false" customHeight="false" outlineLevel="0" collapsed="false">
      <c r="A8" s="38" t="s">
        <v>114</v>
      </c>
      <c r="B8" s="33" t="n">
        <f aca="false">COUNTIF(Cronograma!$B$5:$B$27,A8)</f>
        <v>3</v>
      </c>
      <c r="C8" s="33" t="n">
        <f aca="false">SUMIF(Cronograma!$B$5:$B$27,A8,Cronograma!$T$5:$T$27)</f>
        <v>15</v>
      </c>
      <c r="D8" s="33" t="n">
        <f aca="false">SUMIF(Cronograma!$B$5:$B$27,A8,Cronograma!$U$5:$U$27)</f>
        <v>0</v>
      </c>
      <c r="E8" s="34" t="n">
        <f aca="false">IF(C8=0,"-",D8/C8)</f>
        <v>0</v>
      </c>
    </row>
    <row r="9" customFormat="false" ht="15" hidden="false" customHeight="false" outlineLevel="0" collapsed="false">
      <c r="A9" s="39" t="s">
        <v>125</v>
      </c>
      <c r="B9" s="33" t="n">
        <f aca="false">COUNTIF(Cronograma!$B$5:$B$27,A9)</f>
        <v>2</v>
      </c>
      <c r="C9" s="33" t="n">
        <f aca="false">SUMIF(Cronograma!$B$5:$B$27,A9,Cronograma!$T$5:$T$27)</f>
        <v>5</v>
      </c>
      <c r="D9" s="33" t="n">
        <f aca="false">SUMIF(Cronograma!$B$5:$B$27,A9,Cronograma!$U$5:$U$27)</f>
        <v>0</v>
      </c>
      <c r="E9" s="34" t="n">
        <f aca="false">IF(C9=0,"-",D9/C9)</f>
        <v>0</v>
      </c>
    </row>
    <row r="10" customFormat="false" ht="15" hidden="false" customHeight="false" outlineLevel="0" collapsed="false">
      <c r="A10" s="40" t="s">
        <v>134</v>
      </c>
      <c r="B10" s="33" t="n">
        <f aca="false">COUNTIF(Cronograma!$B$5:$B$27,A10)</f>
        <v>2</v>
      </c>
      <c r="C10" s="33" t="n">
        <f aca="false">SUMIF(Cronograma!$B$5:$B$27,A10,Cronograma!$T$5:$T$27)</f>
        <v>2</v>
      </c>
      <c r="D10" s="33" t="n">
        <f aca="false">SUMIF(Cronograma!$B$5:$B$27,A10,Cronograma!$U$5:$U$27)</f>
        <v>0</v>
      </c>
      <c r="E10" s="34" t="n">
        <f aca="false">IF(C10=0,"-",D10/C10)</f>
        <v>0</v>
      </c>
    </row>
    <row r="11" customFormat="false" ht="15" hidden="false" customHeight="false" outlineLevel="0" collapsed="false">
      <c r="A11" s="41" t="s">
        <v>148</v>
      </c>
      <c r="B11" s="42" t="n">
        <f aca="false">SUM(B4:B10)</f>
        <v>23</v>
      </c>
      <c r="C11" s="42" t="n">
        <f aca="false">SUM(C4:C10)</f>
        <v>126</v>
      </c>
      <c r="D11" s="42" t="n">
        <f aca="false">SUM(D4:D10)</f>
        <v>3</v>
      </c>
      <c r="E11" s="43" t="n">
        <f aca="false">IF(C11=0,"-",D11/C11)</f>
        <v>0.0238095238095238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2026-10-21T15:14:29Z</dcterms:created>
  <dc:creator>openpyxl</dc:creator>
  <dc:description/>
  <dc:language>en-US</dc:language>
  <cp:lastModifiedBy/>
  <dcterms:modified xsi:type="dcterms:W3CDTF">2026-10-21T15:14:29Z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