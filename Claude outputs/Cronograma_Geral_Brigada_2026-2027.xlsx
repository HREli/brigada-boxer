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Cronograma" sheetId="2" state="visible" r:id="rId4"/>
    <sheet name="Detalhes" sheetId="3" state="visible" r:id="rId5"/>
    <sheet name="Resumo" sheetId="4" state="visible" r:id="rId6"/>
    <sheet name="Lista de presença" sheetId="5" state="visible" r:id="rId7"/>
  </sheets>
  <definedNames>
    <definedName function="false" hidden="false" localSheetId="1" name="_xlnm.Print_Titles" vbProcedure="false">Cronograma!$4:$4</definedName>
    <definedName function="false" hidden="true" localSheetId="1" name="_xlnm._FilterDatabase" vbProcedure="false">Cronograma!$A$4:$X$27</definedName>
    <definedName function="false" hidden="false" localSheetId="2" name="_xlnm.Print_Titles" vbProcedure="false">Detalhes!$4:$4</definedName>
    <definedName function="false" hidden="true" localSheetId="2" name="_xlnm._FilterDatabase" vbProcedure="false">Detalhes!$A$4:$L$36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Ago/26 a Ago/27: gestão da brigada (agosto a agosto). Ago/27 marca a reciclagem e a passagem para a próxima gestão.</t>
        </r>
      </text>
    </comment>
  </commentList>
</comments>
</file>

<file path=xl/sharedStrings.xml><?xml version="1.0" encoding="utf-8"?>
<sst xmlns="http://schemas.openxmlformats.org/spreadsheetml/2006/main" count="695" uniqueCount="318">
  <si>
    <t xml:space="preserve">BRIGADA DE INCÊNDIO — Cronograma Geral da Gestão</t>
  </si>
  <si>
    <t xml:space="preserve">Gestão agosto/2026 a agosto/2027 · PROPOSTA para validação com o coordenador e os líderes</t>
  </si>
  <si>
    <t xml:space="preserve">Como ler</t>
  </si>
  <si>
    <t xml:space="preserve">Cada linha é uma atividade. Nas colunas dos meses, a letra mostra a situação da atividade naquele mês.</t>
  </si>
  <si>
    <t xml:space="preserve">P</t>
  </si>
  <si>
    <t xml:space="preserve">Prevista — está planejada para o mês.</t>
  </si>
  <si>
    <t xml:space="preserve">R</t>
  </si>
  <si>
    <t xml:space="preserve">Realizada — aconteceu (tenha a comprovação: ATA, lista de presença, checklist, fotos).</t>
  </si>
  <si>
    <t xml:space="preserve">A</t>
  </si>
  <si>
    <t xml:space="preserve">Adiada — não aconteceu no mês previsto. Marque também o novo mês com P.</t>
  </si>
  <si>
    <t xml:space="preserve">C</t>
  </si>
  <si>
    <t xml:space="preserve">Cancelada / não necessária.</t>
  </si>
  <si>
    <t xml:space="preserve">O que editar</t>
  </si>
  <si>
    <t xml:space="preserve">Só as células dos meses (escolha na lista: P, R, A ou C) e as colunas Responsável e Observação. Os totais e o % realizado são calculados sozinhos.</t>
  </si>
  <si>
    <t xml:space="preserve">Para validar</t>
  </si>
  <si>
    <t xml:space="preserve">1) Meses sugeridos dos simulados, da SIPAT e da revisão do Plano de Emergência.
2) Se o prédio tem iluminação de emergência e alarme/detecção.
3) Meses de manutenção de mangueiras e de recarga dos extintores (conforme a empresa contratada e os vencimentos no app).
4) Responsáveis de cada atividade.
5) Se falta alguma atividade.</t>
  </si>
  <si>
    <t xml:space="preserve">Atenção</t>
  </si>
  <si>
    <t xml:space="preserve">As frequências são sugestões de boas práticas. Confirme as exigências da Instrução Técnica do Corpo de Bombeiros do estado, das normas ABNT aplicáveis e do contrato com a empresa de manutenção.</t>
  </si>
  <si>
    <t xml:space="preserve">Depois</t>
  </si>
  <si>
    <t xml:space="preserve">Validado o cronograma, ele pode ser importado para o Calendário do app, junto com as reuniões.</t>
  </si>
  <si>
    <t xml:space="preserve">Abas</t>
  </si>
  <si>
    <t xml:space="preserve">Cronograma = visão do ano (o que acontece em cada mês). Detalhes = objetivo, roteiro e comprovação de cada ação, com os temas de DDS mês a mês e o banco de temas reserva. Resumo = andamento por tipo. Lista de presença = modelo para imprimir.</t>
  </si>
  <si>
    <t xml:space="preserve">Navegar</t>
  </si>
  <si>
    <t xml:space="preserve">No Cronograma, clique em "ver ›" na coluna Detalhes para abrir a especificação da ação. Na aba Detalhes, clique no número da ação para voltar ao Cronograma.</t>
  </si>
  <si>
    <t xml:space="preserve">DDS</t>
  </si>
  <si>
    <t xml:space="preserve">Na aba Detalhes, preencha a Data realizada e o Nº de participantes de cada DDS; no Cronograma, marque R no mês.</t>
  </si>
  <si>
    <t xml:space="preserve">CRONOGRAMA GERAL DA BRIGADA — GESTÃO AGO/2026 A AGO/2027</t>
  </si>
  <si>
    <t xml:space="preserve">Proposta para validação · P = prevista · R = realizada · A = adiada · C = cancelada</t>
  </si>
  <si>
    <t xml:space="preserve">Nº</t>
  </si>
  <si>
    <t xml:space="preserve">Tipo</t>
  </si>
  <si>
    <t xml:space="preserve">Atividade</t>
  </si>
  <si>
    <t xml:space="preserve">Frequência</t>
  </si>
  <si>
    <t xml:space="preserve">Responsável</t>
  </si>
  <si>
    <t xml:space="preserve">Comprovação</t>
  </si>
  <si>
    <t xml:space="preserve">Ago/26</t>
  </si>
  <si>
    <t xml:space="preserve">Set/26</t>
  </si>
  <si>
    <t xml:space="preserve">Out/26</t>
  </si>
  <si>
    <t xml:space="preserve">Nov/26</t>
  </si>
  <si>
    <t xml:space="preserve">Dez/26</t>
  </si>
  <si>
    <t xml:space="preserve">Jan/27</t>
  </si>
  <si>
    <t xml:space="preserve">Fev/27</t>
  </si>
  <si>
    <t xml:space="preserve">Mar/27</t>
  </si>
  <si>
    <t xml:space="preserve">Abr/27</t>
  </si>
  <si>
    <t xml:space="preserve">Mai/27</t>
  </si>
  <si>
    <t xml:space="preserve">Jun/27</t>
  </si>
  <si>
    <t xml:space="preserve">Jul/27</t>
  </si>
  <si>
    <t xml:space="preserve">Ago/27</t>
  </si>
  <si>
    <t xml:space="preserve">Previstas</t>
  </si>
  <si>
    <t xml:space="preserve">Realizadas</t>
  </si>
  <si>
    <t xml:space="preserve">% realizado</t>
  </si>
  <si>
    <t xml:space="preserve">Observação / a validar</t>
  </si>
  <si>
    <t xml:space="preserve">Detalhes</t>
  </si>
  <si>
    <t xml:space="preserve">Reuniões</t>
  </si>
  <si>
    <t xml:space="preserve">Reunião Geral da Brigada</t>
  </si>
  <si>
    <t xml:space="preserve">Mensal (3ª quarta-feira)</t>
  </si>
  <si>
    <t xml:space="preserve">Coordenador / Secretária</t>
  </si>
  <si>
    <t xml:space="preserve">ATA assinada no app</t>
  </si>
  <si>
    <t xml:space="preserve">Ago/26 realizada (26/08). Set/26 não houve. Out/26 em 22/10 (exceção: quinta-feira).</t>
  </si>
  <si>
    <t xml:space="preserve">ver ›</t>
  </si>
  <si>
    <t xml:space="preserve">Reunião de Líderes</t>
  </si>
  <si>
    <t xml:space="preserve">Mensal, 7 a 10 dias antes da Geral (quando necessário)</t>
  </si>
  <si>
    <t xml:space="preserve">Coordenador + líderes de andar</t>
  </si>
  <si>
    <t xml:space="preserve">ATA no app</t>
  </si>
  <si>
    <t xml:space="preserve">Out/26 realizada (06/10). Pode não acontecer em todos os meses.</t>
  </si>
  <si>
    <t xml:space="preserve">Treinamentos</t>
  </si>
  <si>
    <t xml:space="preserve">Formação / reciclagem da brigada (Semana de Treinamento)</t>
  </si>
  <si>
    <t xml:space="preserve">Anual</t>
  </si>
  <si>
    <t xml:space="preserve">Coordenador + empresa de treinamento</t>
  </si>
  <si>
    <t xml:space="preserve">Certificados (app: Documentos)</t>
  </si>
  <si>
    <t xml:space="preserve">Ago/26 realizada (10 a 13/08). Ago/27: reciclagem — certificados vencem.</t>
  </si>
  <si>
    <t xml:space="preserve">Integração de novos brigadistas</t>
  </si>
  <si>
    <t xml:space="preserve">Quando houver entrada</t>
  </si>
  <si>
    <t xml:space="preserve">Coordenador</t>
  </si>
  <si>
    <t xml:space="preserve">Lista de presença</t>
  </si>
  <si>
    <t xml:space="preserve">Sem mês fixo: marcar quando entrar alguém novo.</t>
  </si>
  <si>
    <t xml:space="preserve">DDS da Brigada (tema do mês)</t>
  </si>
  <si>
    <t xml:space="preserve">Mensal</t>
  </si>
  <si>
    <t xml:space="preserve">Líderes de andar</t>
  </si>
  <si>
    <t xml:space="preserve">Um tema por mês: temas, objetivos e roteiros na aba Detalhes (5.1 a 5.10). 1º tema: obstrução de extintor na operação.</t>
  </si>
  <si>
    <t xml:space="preserve">Simulados</t>
  </si>
  <si>
    <t xml:space="preserve">Simulado de abandono de área (evacuação)</t>
  </si>
  <si>
    <t xml:space="preserve">Semestral (sugestão)</t>
  </si>
  <si>
    <t xml:space="preserve">Coordenador + líderes de evacuação</t>
  </si>
  <si>
    <t xml:space="preserve">Relatório, fotos, tempo de saída e lista de chamada (app: Pessoas no Prédio)</t>
  </si>
  <si>
    <t xml:space="preserve">Meses sugeridos — validar com os líderes e com a norma aplicável.</t>
  </si>
  <si>
    <t xml:space="preserve">Simulado prático de combate a princípio de incêndio e primeiros socorros</t>
  </si>
  <si>
    <t xml:space="preserve">Anual (sugestão)</t>
  </si>
  <si>
    <t xml:space="preserve">Coordenador + combatentes e socorristas</t>
  </si>
  <si>
    <t xml:space="preserve">Relatório e fotos</t>
  </si>
  <si>
    <t xml:space="preserve">Mês sugerido.</t>
  </si>
  <si>
    <t xml:space="preserve">Inspeções</t>
  </si>
  <si>
    <t xml:space="preserve">Inspeção visual dos extintores</t>
  </si>
  <si>
    <t xml:space="preserve">Combatentes</t>
  </si>
  <si>
    <t xml:space="preserve">Checklist no app (Extintores)</t>
  </si>
  <si>
    <t xml:space="preserve">Recarga / manutenção dos extintores</t>
  </si>
  <si>
    <t xml:space="preserve">Anual (conforme vencimento)</t>
  </si>
  <si>
    <t xml:space="preserve">Empresa contratada (acompanhamento: coordenador)</t>
  </si>
  <si>
    <t xml:space="preserve">Etiqueta e nota da empresa</t>
  </si>
  <si>
    <t xml:space="preserve">Marcar o mês conforme o vencimento de cada extintor no app.</t>
  </si>
  <si>
    <t xml:space="preserve">Inspeção visual dos hidrantes e abrigos de mangueira</t>
  </si>
  <si>
    <t xml:space="preserve">Checklist no app (Hidrantes)</t>
  </si>
  <si>
    <t xml:space="preserve">Inspeção e manutenção das mangueiras de incêndio</t>
  </si>
  <si>
    <t xml:space="preserve">Semestral inspeção / anual manutenção (sugestão)</t>
  </si>
  <si>
    <t xml:space="preserve">Empresa contratada</t>
  </si>
  <si>
    <t xml:space="preserve">Laudo / relatório da empresa</t>
  </si>
  <si>
    <t xml:space="preserve">Confirmar meses com a empresa de manutenção.</t>
  </si>
  <si>
    <t xml:space="preserve">Teste da iluminação de emergência</t>
  </si>
  <si>
    <t xml:space="preserve">Checklist</t>
  </si>
  <si>
    <t xml:space="preserve">Confirmar se há este sistema no prédio.</t>
  </si>
  <si>
    <t xml:space="preserve">Teste do alarme / sistema de detecção</t>
  </si>
  <si>
    <t xml:space="preserve">Mensal (sugestão)</t>
  </si>
  <si>
    <t xml:space="preserve">Rotas de fuga, saídas de emergência e sinalização desobstruídas</t>
  </si>
  <si>
    <t xml:space="preserve">Líderes de evacuação</t>
  </si>
  <si>
    <t xml:space="preserve">Checklist / fotos</t>
  </si>
  <si>
    <t xml:space="preserve">Conferência do kit de primeiros socorros</t>
  </si>
  <si>
    <t xml:space="preserve">Responsável pelo kit</t>
  </si>
  <si>
    <t xml:space="preserve">Checklist de itens e validades</t>
  </si>
  <si>
    <t xml:space="preserve">Ponto de encontro: placas e identificação</t>
  </si>
  <si>
    <t xml:space="preserve">Trimestral</t>
  </si>
  <si>
    <t xml:space="preserve">Líder de evacuação</t>
  </si>
  <si>
    <t xml:space="preserve">Fotos</t>
  </si>
  <si>
    <t xml:space="preserve">Placa do ponto de encontro geral ainda pendente (ATA 22/10).</t>
  </si>
  <si>
    <t xml:space="preserve">Pessoas e documentos</t>
  </si>
  <si>
    <t xml:space="preserve">Atualizar a lista de pessoas no prédio</t>
  </si>
  <si>
    <t xml:space="preserve">Mensal (e a cada admissão/desligamento)</t>
  </si>
  <si>
    <t xml:space="preserve">RH (Elizângela)</t>
  </si>
  <si>
    <t xml:space="preserve">Planilha importada no app (Pessoas no Prédio)</t>
  </si>
  <si>
    <t xml:space="preserve">Conferir validade do AVCB / CLCB e certificados</t>
  </si>
  <si>
    <t xml:space="preserve">App: Certificados e Atestado</t>
  </si>
  <si>
    <t xml:space="preserve">Revisar o Plano de Emergência</t>
  </si>
  <si>
    <t xml:space="preserve">Coordenador + líderes</t>
  </si>
  <si>
    <t xml:space="preserve">Plano revisado e assinado</t>
  </si>
  <si>
    <t xml:space="preserve">Mês sugerido: antes do encerramento da gestão.</t>
  </si>
  <si>
    <t xml:space="preserve">Campanhas</t>
  </si>
  <si>
    <t xml:space="preserve">SIPAT (participação da Brigada)</t>
  </si>
  <si>
    <t xml:space="preserve">CIPA + Brigada</t>
  </si>
  <si>
    <t xml:space="preserve">Programação e lista de presença</t>
  </si>
  <si>
    <t xml:space="preserve">Mês A DEFINIR com a CIPA.</t>
  </si>
  <si>
    <t xml:space="preserve">Comunicação ao time (quadro da brigada, identificação, avisos)</t>
  </si>
  <si>
    <t xml:space="preserve">Coordenador / Marketing</t>
  </si>
  <si>
    <t xml:space="preserve">Fotos / e-mail</t>
  </si>
  <si>
    <t xml:space="preserve">Quadro geral da brigada em produção (ATA 22/10).</t>
  </si>
  <si>
    <t xml:space="preserve">Gestão</t>
  </si>
  <si>
    <t xml:space="preserve">Balanço da gestão (relatório para a diretoria)</t>
  </si>
  <si>
    <t xml:space="preserve">Coordenador + secretária</t>
  </si>
  <si>
    <t xml:space="preserve">Relatório</t>
  </si>
  <si>
    <t xml:space="preserve">Definição da composição da próxima gestão</t>
  </si>
  <si>
    <t xml:space="preserve">Coordenador + RH</t>
  </si>
  <si>
    <t xml:space="preserve">Lista de brigadistas atualizada no app</t>
  </si>
  <si>
    <t xml:space="preserve">Antes da reciclagem de Ago/27.</t>
  </si>
  <si>
    <t xml:space="preserve">Atividades previstas no mês</t>
  </si>
  <si>
    <t xml:space="preserve">Realizadas no mês</t>
  </si>
  <si>
    <t xml:space="preserve">% realizado no mês</t>
  </si>
  <si>
    <t xml:space="preserve">Gestão:</t>
  </si>
  <si>
    <t xml:space="preserve">DETALHES DE CADA AÇÃO DO CRONOGRAMA</t>
  </si>
  <si>
    <t xml:space="preserve">Objetivo, roteiro e comprovação de cada atividade. O DDS aparece mês a mês (5.1 a 5.10). Volte ao cronograma pelo link da coluna Detalhes.</t>
  </si>
  <si>
    <t xml:space="preserve">Mês / frequência</t>
  </si>
  <si>
    <t xml:space="preserve">Tema</t>
  </si>
  <si>
    <t xml:space="preserve">Objetivo</t>
  </si>
  <si>
    <t xml:space="preserve">Como fazer (roteiro)</t>
  </si>
  <si>
    <t xml:space="preserve">Material de apoio / comprovação</t>
  </si>
  <si>
    <t xml:space="preserve">Data realizada</t>
  </si>
  <si>
    <t xml:space="preserve">Nº participantes</t>
  </si>
  <si>
    <t xml:space="preserve">Observação</t>
  </si>
  <si>
    <t xml:space="preserve">—</t>
  </si>
  <si>
    <t xml:space="preserve">Alinhar a brigada, apresentar as decisões e acompanhar o Plano de Ação.</t>
  </si>
  <si>
    <t xml:space="preserve">• Pauta vem da Reunião de Líderes
• Registrar no app (Reunião Geral, modo reunião): discussão, decisão e ações por assunto
• Marcar ausentes e gerar o PDF para assinaturas
• Anexar a ATA assinada no app</t>
  </si>
  <si>
    <t xml:space="preserve">ATA assinada (app: Reunião Geral)</t>
  </si>
  <si>
    <t xml:space="preserve">Preparar a Reunião Geral e decidir o que vira pauta ou ação.</t>
  </si>
  <si>
    <t xml:space="preserve">• Acontece de 7 a 10 dias antes da Geral
• Revisar o Plano de Ação (atrasadas e próximas do prazo)
• Definir a pauta e as novas ações
• Registrar no app (Reunião de Líderes)</t>
  </si>
  <si>
    <t xml:space="preserve">Manter todos os brigadistas treinados e com certificado válido.</t>
  </si>
  <si>
    <t xml:space="preserve">• Contratar a empresa de treinamento e definir as datas
• Convocar os brigadistas com antecedência
• Carga horária conforme a classificação (8 h Intermediário / 24 h Avançado)
• Arquivar os certificados no app (Documentos)</t>
  </si>
  <si>
    <t xml:space="preserve">Certificados e lista de presença</t>
  </si>
  <si>
    <t xml:space="preserve">Integrar quem entra na brigada durante a gestão.</t>
  </si>
  <si>
    <t xml:space="preserve">• Apresentar estrutura, funções, rotas de fuga e equipamentos
• Cadastrar no app e incluir no quadro da brigada
• Programar a formação, se ainda não tiver certificado</t>
  </si>
  <si>
    <t xml:space="preserve">Lista de presença / cadastro no app</t>
  </si>
  <si>
    <t xml:space="preserve">5.1</t>
  </si>
  <si>
    <t xml:space="preserve">Extintor desobstruído na operação</t>
  </si>
  <si>
    <t xml:space="preserve">Garantir que todos os extintores fiquem visíveis e com acesso livre o tempo todo.</t>
  </si>
  <si>
    <t xml:space="preserve">• Por que o acesso livre salva tempo numa emergência (segundos contam)
• Não encostar materiais, paletes, carrinhos ou peças na frente do extintor
• Sinalização no chão e na parede: respeitar a área demarcada
• Viu um extintor obstruído? Desobstrua ou avise o líder de andar na hora</t>
  </si>
  <si>
    <t xml:space="preserve">Fotos de um extintor obstruído x livre na própria área
Comprovação: lista de presença assinada</t>
  </si>
  <si>
    <t xml:space="preserve">Tema definido na Reunião de Líderes de 06/10/2026.</t>
  </si>
  <si>
    <t xml:space="preserve">5.2</t>
  </si>
  <si>
    <t xml:space="preserve">Tipos de extintor e classes de fogo</t>
  </si>
  <si>
    <t xml:space="preserve">Saber escolher o extintor certo para cada tipo de fogo.</t>
  </si>
  <si>
    <t xml:space="preserve">• Classes de fogo: A (sólidos), B (líquidos), C (equipamentos energizados), D (metais), K (óleo de cozinha)
• Extintores do prédio: água, pó químico (PQS) e CO₂ — onde estão e para que servem
• Como usar: puxar o lacre, apontar para a base do fogo, apertar o gatilho, varrer
• Só combater princípio de incêndio; se crescer, abandonar e acionar a brigada</t>
  </si>
  <si>
    <t xml:space="preserve">Um extintor de cada tipo para mostrar (sem disparar)
Comprovação: lista de presença assinada</t>
  </si>
  <si>
    <t xml:space="preserve">5.3</t>
  </si>
  <si>
    <t xml:space="preserve">Trabalho a quente: solda e corte sem incêndio</t>
  </si>
  <si>
    <t xml:space="preserve">Prevenir incêndio em atividades com solda, corte e esmerilhamento.</t>
  </si>
  <si>
    <t xml:space="preserve">• Afastar ou proteger materiais combustíveis antes de começar (raio de segurança)
• Ter extintor próximo e liberado durante a atividade
• Fagulhas viajam: atenção a frestas, ralos e materiais embaixo
• Vigiar o local por pelo menos 30 minutos depois de terminar</t>
  </si>
  <si>
    <t xml:space="preserve">Exemplo real de uma bancada ou área de solda da empresa
Comprovação: lista de presença assinada</t>
  </si>
  <si>
    <t xml:space="preserve">Tema ligado à atividade da empresa.</t>
  </si>
  <si>
    <t xml:space="preserve">5.4</t>
  </si>
  <si>
    <t xml:space="preserve">Rotas de fuga e saídas de emergência</t>
  </si>
  <si>
    <t xml:space="preserve">Manter os caminhos de saída livres e conhecidos por todos.</t>
  </si>
  <si>
    <t xml:space="preserve">• Onde ficam as saídas de emergência de cada andar
• Corredores, escadas e portas de saída nunca podem ficar bloqueados ou trancados
• Seguir a sinalização fotoluminescente (placas verdes)
• Na emergência: não usar elevador, não voltar para buscar objetos</t>
  </si>
  <si>
    <t xml:space="preserve">Planta do andar com as rotas marcadas
Comprovação: lista de presença assinada</t>
  </si>
  <si>
    <t xml:space="preserve">5.5</t>
  </si>
  <si>
    <t xml:space="preserve">Hidrantes e mangueiras de incêndio</t>
  </si>
  <si>
    <t xml:space="preserve">Conhecer os hidrantes do prédio e manter os abrigos desobstruídos.</t>
  </si>
  <si>
    <t xml:space="preserve">• Onde ficam os hidrantes e abrigos de mangueira
• Quem pode operar o hidrante (brigadistas treinados)
• Abrigo sempre fechado, sinalizado e sem nada na frente
• Nunca usar água em equipamentos energizados</t>
  </si>
  <si>
    <t xml:space="preserve">Visita rápida a um abrigo de mangueira
Comprovação: lista de presença assinada</t>
  </si>
  <si>
    <t xml:space="preserve">5.6</t>
  </si>
  <si>
    <t xml:space="preserve">Abandono de área e ponto de encontro</t>
  </si>
  <si>
    <t xml:space="preserve">Preparar todos para o simulado de abandono de maio.</t>
  </si>
  <si>
    <t xml:space="preserve">• O que fazer ao ouvir o alarme ou o aviso de abandono
• Papel dos líderes de evacuação e de andar
• Caminho até o ponto de encontro e por que ninguém pode sair dele
• Lista de chamada: como confirmamos que todos saíram</t>
  </si>
  <si>
    <t xml:space="preserve">Mapa com o ponto de encontro
Comprovação: lista de presença assinada</t>
  </si>
  <si>
    <t xml:space="preserve">Preparação para o simulado previsto em Mai/27.</t>
  </si>
  <si>
    <t xml:space="preserve">5.7</t>
  </si>
  <si>
    <t xml:space="preserve">Primeiros socorros básicos</t>
  </si>
  <si>
    <t xml:space="preserve">Saber o que fazer (e o que não fazer) até a chegada do socorro.</t>
  </si>
  <si>
    <t xml:space="preserve">• Avaliar a cena: segurança primeiro
• Acionar o socorrista da brigada e o SAMU (192)
• Queimaduras: água corrente em temperatura ambiente; não usar pasta, manteiga ou gelo
• Onde fica o kit de primeiros socorros do andar</t>
  </si>
  <si>
    <t xml:space="preserve">Kit de primeiros socorros do andar
Comprovação: lista de presença assinada</t>
  </si>
  <si>
    <t xml:space="preserve">Revisar o conteúdo com o socorrista da brigada.</t>
  </si>
  <si>
    <t xml:space="preserve">5.8</t>
  </si>
  <si>
    <t xml:space="preserve">Riscos elétricos e sobrecarga</t>
  </si>
  <si>
    <t xml:space="preserve">Evitar incêndios de origem elétrica.</t>
  </si>
  <si>
    <t xml:space="preserve">• Não sobrecarregar tomadas com benjamins e extensões em cadeia
• Fios descascados, aquecidos ou com cheiro de queimado: desligar e avisar a manutenção
• Desligar equipamentos ao final do expediente
• Em fogo em equipamento elétrico: desligar a energia e usar PQS ou CO₂</t>
  </si>
  <si>
    <t xml:space="preserve">Exemplo de extensão ou tomada inadequada
Comprovação: lista de presença assinada</t>
  </si>
  <si>
    <t xml:space="preserve">5.9</t>
  </si>
  <si>
    <t xml:space="preserve">Inflamáveis e cilindros de gases</t>
  </si>
  <si>
    <t xml:space="preserve">Armazenar e manusear com segurança produtos inflamáveis e gases.</t>
  </si>
  <si>
    <t xml:space="preserve">• Cilindros de oxigênio, acetileno e outros gases: sempre presos, em pé e com capacete
• Manter longe de fontes de calor e de óleo/graxa (risco com oxigênio)
• Inflamáveis em local ventilado, identificado e longe de faíscas
• Organização e limpeza (5S) também previnem incêndio</t>
  </si>
  <si>
    <t xml:space="preserve">Visita à área de armazenamento de gases
Comprovação: lista de presença assinada</t>
  </si>
  <si>
    <t xml:space="preserve">Confirmar com a área responsável os pontos de armazenamento.</t>
  </si>
  <si>
    <t xml:space="preserve">5.10</t>
  </si>
  <si>
    <t xml:space="preserve">Como acionar a brigada e balanço do ano</t>
  </si>
  <si>
    <t xml:space="preserve">Reforçar como pedir ajuda e fechar o ciclo da gestão.</t>
  </si>
  <si>
    <t xml:space="preserve">• Números de emergência: Bombeiros 193, SAMU 192 e o contato interno da brigada
• Quem são os brigadistas de cada andar (quadro da brigada)
• O que aprendemos nos DDS e no simulado do ano
• Sugestões de temas para a próxima gestão</t>
  </si>
  <si>
    <t xml:space="preserve">Quadro geral da brigada
Comprovação: lista de presença assinada</t>
  </si>
  <si>
    <t xml:space="preserve">Mês da reciclagem da brigada.</t>
  </si>
  <si>
    <t xml:space="preserve">Testar o plano de abandono e medir o tempo de saída.</t>
  </si>
  <si>
    <t xml:space="preserve">• Planejar com os líderes: data, cenário e comunicação à diretoria
• Acionar o alarme / aviso de abandono e cronometrar
• Fazer a chamada no ponto de encontro (app: Pessoas no Prédio → lista de chamada)
• Reunião de avaliação: lições aprendidas e ações no Plano de Ação</t>
  </si>
  <si>
    <t xml:space="preserve">Relatório, fotos, tempo de saída e lista de chamada</t>
  </si>
  <si>
    <t xml:space="preserve">Praticar o combate a princípio de incêndio e o atendimento inicial.</t>
  </si>
  <si>
    <t xml:space="preserve">• Área externa segura e autorizada
• Conduzido pela empresa de treinamento ou bombeiro civil
• Cada combatente pratica o uso do extintor; socorristas praticam o atendimento
• Registrar participantes e fotos</t>
  </si>
  <si>
    <t xml:space="preserve">Garantir que cada extintor esteja pronto para uso.</t>
  </si>
  <si>
    <t xml:space="preserve">• No lugar certo, sinalizado e desobstruído
• Lacre e pino intactos, manômetro na faixa verde
• Dentro da validade (etiqueta)
• Registrar no app (Extintores); problemas viram ação no Plano</t>
  </si>
  <si>
    <t xml:space="preserve">Inspeção registrada no app</t>
  </si>
  <si>
    <t xml:space="preserve">Manter os extintores dentro da validade.</t>
  </si>
  <si>
    <t xml:space="preserve">• Programar com a empresa conforme os vencimentos no app
• Garantir reposição enquanto os extintores estão fora
• Conferir etiquetas e lacres na devolução
• Atualizar as datas no app</t>
  </si>
  <si>
    <t xml:space="preserve">Nota/relatório da empresa e etiquetas</t>
  </si>
  <si>
    <t xml:space="preserve">Garantir que os hidrantes estejam prontos para uso.</t>
  </si>
  <si>
    <t xml:space="preserve">• Abrigo sinalizado, fechado e sem nada na frente
• Mangueira acondicionada, esguicho e chave presentes
• Registro sem vazamento
• Registrar no app (Hidrantes)</t>
  </si>
  <si>
    <t xml:space="preserve">Garantir mangueiras em condições de uso.</t>
  </si>
  <si>
    <t xml:space="preserve">• Inspeção e teste feitos pela empresa contratada
• Substituir mangueiras reprovadas
• Guardar o laudo</t>
  </si>
  <si>
    <t xml:space="preserve">Laudo da empresa</t>
  </si>
  <si>
    <t xml:space="preserve">Garantir que as rotas fiquem iluminadas se faltar energia.</t>
  </si>
  <si>
    <t xml:space="preserve">• Acionar o teste das luminárias (botão ou desligamento)
• Conferir se todas acendem
• Anotar as que falharam e pedir manutenção</t>
  </si>
  <si>
    <t xml:space="preserve">Garantir que o alarme funcione e seja ouvido em todo o prédio.</t>
  </si>
  <si>
    <t xml:space="preserve">• Avisar as pessoas antes do teste
• Testar acionadores e sirene conforme orientação da manutenção
• Registrar falhas e pedir correção</t>
  </si>
  <si>
    <t xml:space="preserve">Manter os caminhos de saída livres.</t>
  </si>
  <si>
    <t xml:space="preserve">• Percorrer as rotas de cada andar
• Portas de saída destrancadas e sem obstáculos
• Sinalização visível e íntegra
• Fotografar e corrigir o que estiver errado</t>
  </si>
  <si>
    <t xml:space="preserve">Checklist e fotos</t>
  </si>
  <si>
    <t xml:space="preserve">Manter o kit de primeiros socorros completo.</t>
  </si>
  <si>
    <t xml:space="preserve">• Conferir os itens pela lista do kit
• Verificar validades
• Repor o que faltar e registrar</t>
  </si>
  <si>
    <t xml:space="preserve">Manter o ponto de encontro identificado e livre.</t>
  </si>
  <si>
    <t xml:space="preserve">• Placas visíveis e em bom estado
• Área livre de obstáculos e veículos
• Fotografar</t>
  </si>
  <si>
    <t xml:space="preserve">Saber quantas pessoas estão no prédio para a chamada na evacuação.</t>
  </si>
  <si>
    <t xml:space="preserve">• Exportar a relação de colaboradores do RH
• Importar no app (Pessoas no Prédio → Atualizar lista)
• Conferir terceiros e visitantes fixos</t>
  </si>
  <si>
    <t xml:space="preserve">Planilha importada no app</t>
  </si>
  <si>
    <t xml:space="preserve">Não deixar vencer licenças e certificados.</t>
  </si>
  <si>
    <t xml:space="preserve">• Conferir as validades no app (Certificados e Atestado)
• Programar a renovação com antecedência (ex.: 90 dias)
• Arquivar os novos documentos no app</t>
  </si>
  <si>
    <t xml:space="preserve">Manter o Plano de Emergência atualizado.</t>
  </si>
  <si>
    <t xml:space="preserve">• Revisar responsáveis, rotas, contatos e ponto de encontro
• Incluir as lições aprendidas dos simulados
• Aprovar com o coordenador e divulgar</t>
  </si>
  <si>
    <t xml:space="preserve">Levar a prevenção de incêndio para a SIPAT.</t>
  </si>
  <si>
    <t xml:space="preserve">• Definir com a CIPA o formato: palestra, demonstração ou estande
• Escolher os brigadistas que vão participar
• Registrar a presença</t>
  </si>
  <si>
    <t xml:space="preserve">Manter todos informados sobre a brigada.</t>
  </si>
  <si>
    <t xml:space="preserve">• Quadro da brigada atualizado e visível
• Avisos por mural, e-mail ou DDS
• Identificação dos brigadistas (silk na camiseta de uniforme)</t>
  </si>
  <si>
    <t xml:space="preserve">Fotos / e-mails</t>
  </si>
  <si>
    <t xml:space="preserve">Mostrar os resultados da gestão.</t>
  </si>
  <si>
    <t xml:space="preserve">• Consolidar indicadores: reuniões, DDS, simulados, inspeções e % do cronograma
• Destacar conquistas e pendências
• Apresentar à diretoria</t>
  </si>
  <si>
    <t xml:space="preserve">Preparar a próxima gestão.</t>
  </si>
  <si>
    <t xml:space="preserve">• Confirmar quem continua e buscar novos voluntários
• Ajustar funções e áreas de responsabilidade
• Atualizar o app e planejar a reciclagem de agosto</t>
  </si>
  <si>
    <t xml:space="preserve">DDS — participação</t>
  </si>
  <si>
    <t xml:space="preserve">DDS com data realizada</t>
  </si>
  <si>
    <t xml:space="preserve">Total de participações</t>
  </si>
  <si>
    <t xml:space="preserve">Média de participantes por DDS</t>
  </si>
  <si>
    <t xml:space="preserve">BANCO DE TEMAS DE DDS (RESERVA)</t>
  </si>
  <si>
    <t xml:space="preserve">Do que falar</t>
  </si>
  <si>
    <t xml:space="preserve">R1</t>
  </si>
  <si>
    <t xml:space="preserve">Incêndio em casa nas festas de fim de ano</t>
  </si>
  <si>
    <t xml:space="preserve">Pisca-pisca, extensões, velas, fogos de artifício e cozinha.</t>
  </si>
  <si>
    <t xml:space="preserve">Pode substituir ou complementar Dez/26.</t>
  </si>
  <si>
    <t xml:space="preserve">R2</t>
  </si>
  <si>
    <t xml:space="preserve">Engasgo: manobra de desobstrução</t>
  </si>
  <si>
    <t xml:space="preserve">Como reconhecer e agir em adulto e criança.</t>
  </si>
  <si>
    <t xml:space="preserve">R3</t>
  </si>
  <si>
    <t xml:space="preserve">Fumaça mata mais que o fogo</t>
  </si>
  <si>
    <t xml:space="preserve">Por que sair abaixado, proteger as vias aéreas e não voltar.</t>
  </si>
  <si>
    <t xml:space="preserve">R4</t>
  </si>
  <si>
    <t xml:space="preserve">Vazamento de gás</t>
  </si>
  <si>
    <t xml:space="preserve">O que fazer e o que não fazer (não acender luz, ventilar, sair).</t>
  </si>
  <si>
    <t xml:space="preserve">R5</t>
  </si>
  <si>
    <t xml:space="preserve">Incêndio em empilhadeira ou veículo</t>
  </si>
  <si>
    <t xml:space="preserve">Riscos de baterias, combustível e como agir.</t>
  </si>
  <si>
    <t xml:space="preserve">R6</t>
  </si>
  <si>
    <t xml:space="preserve">Iluminação de emergência e alarme</t>
  </si>
  <si>
    <t xml:space="preserve">Para que servem e como reportar falhas.</t>
  </si>
  <si>
    <t xml:space="preserve">Se o prédio tiver esses sistemas.</t>
  </si>
  <si>
    <t xml:space="preserve">R7</t>
  </si>
  <si>
    <t xml:space="preserve">Mitos e verdades sobre incêndio</t>
  </si>
  <si>
    <t xml:space="preserve">Desfazer crenças comuns (ex.: jogar água em óleo quente).</t>
  </si>
  <si>
    <t xml:space="preserve">R8</t>
  </si>
  <si>
    <t xml:space="preserve">Calor, desmaio e mal súbito</t>
  </si>
  <si>
    <t xml:space="preserve">Primeiros cuidados até a chegada do socorro.</t>
  </si>
  <si>
    <t xml:space="preserve">RESUMO POR TIPO DE ATIVIDADE</t>
  </si>
  <si>
    <t xml:space="preserve">Atividades</t>
  </si>
  <si>
    <t xml:space="preserve">Total</t>
  </si>
  <si>
    <t xml:space="preserve">BRIGADA DE INCÊNDIO — LISTA DE PRESENÇA (DDS / TREINAMENTO)</t>
  </si>
  <si>
    <t xml:space="preserve">Atividade / tema:</t>
  </si>
  <si>
    <t xml:space="preserve">Data:</t>
  </si>
  <si>
    <t xml:space="preserve">Andar / área:</t>
  </si>
  <si>
    <t xml:space="preserve">Facilitador:</t>
  </si>
  <si>
    <t xml:space="preserve">Nome</t>
  </si>
  <si>
    <t xml:space="preserve">Setor</t>
  </si>
  <si>
    <t xml:space="preserve">Assinatura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</si>
</sst>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General"/>
    <numFmt numFmtId="167" formatCode="dd/mm/yyyy"/>
    <numFmt numFmtId="168" formatCode="0"/>
    <numFmt numFmtId="169" formatCode="0.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D60808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272626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D60808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7F6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D60808"/>
      <name val="Arial"/>
      <family val="0"/>
      <charset val="1"/>
    </font>
    <font>
      <sz val="10"/>
      <name val="Arial"/>
      <family val="2"/>
    </font>
    <font>
      <b val="true"/>
      <sz val="9"/>
      <color rgb="FF000000"/>
      <name val="Arial"/>
      <family val="0"/>
      <charset val="1"/>
    </font>
    <font>
      <b val="true"/>
      <sz val="10"/>
      <color rgb="FF272626"/>
      <name val="Arial"/>
      <family val="0"/>
      <charset val="1"/>
    </font>
    <font>
      <b val="true"/>
      <sz val="12"/>
      <color rgb="FFD6080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D60808"/>
      <name val="Arial"/>
      <family val="0"/>
      <charset val="1"/>
    </font>
    <font>
      <b val="true"/>
      <sz val="13"/>
      <color rgb="FFD60808"/>
      <name val="Arial"/>
      <family val="0"/>
      <charset val="1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DCE6F2"/>
        <bgColor rgb="FFE7E6E6"/>
      </patternFill>
    </fill>
    <fill>
      <patternFill patternType="solid">
        <fgColor rgb="FFC6EFCE"/>
        <bgColor rgb="FFDCE6F2"/>
      </patternFill>
    </fill>
    <fill>
      <patternFill patternType="solid">
        <fgColor rgb="FFFFE699"/>
        <bgColor rgb="FFFFF4E5"/>
      </patternFill>
    </fill>
    <fill>
      <patternFill patternType="solid">
        <fgColor rgb="FFE7E6E6"/>
        <bgColor rgb="FFDCE6F2"/>
      </patternFill>
    </fill>
    <fill>
      <patternFill patternType="solid">
        <fgColor rgb="FF272626"/>
        <bgColor rgb="FF333300"/>
      </patternFill>
    </fill>
    <fill>
      <patternFill patternType="solid">
        <fgColor rgb="FFFDECEC"/>
        <bgColor rgb="FFFFF1F1"/>
      </patternFill>
    </fill>
    <fill>
      <patternFill patternType="solid">
        <fgColor rgb="FFEEF3FB"/>
        <bgColor rgb="FFF2F2F2"/>
      </patternFill>
    </fill>
    <fill>
      <patternFill patternType="solid">
        <fgColor rgb="FFFFF4E5"/>
        <bgColor rgb="FFFFF1F1"/>
      </patternFill>
    </fill>
    <fill>
      <patternFill patternType="solid">
        <fgColor rgb="FFF1F8F1"/>
        <bgColor rgb="FFF2F2F2"/>
      </patternFill>
    </fill>
    <fill>
      <patternFill patternType="solid">
        <fgColor rgb="FFF5F0FA"/>
        <bgColor rgb="FFF2F2F2"/>
      </patternFill>
    </fill>
    <fill>
      <patternFill patternType="solid">
        <fgColor rgb="FFFFF0F6"/>
        <bgColor rgb="FFFFF1F1"/>
      </patternFill>
    </fill>
    <fill>
      <patternFill patternType="solid">
        <fgColor rgb="FFF2F2F2"/>
        <bgColor rgb="FFF5F0FA"/>
      </patternFill>
    </fill>
    <fill>
      <patternFill patternType="solid">
        <fgColor rgb="FFFFF1F1"/>
        <bgColor rgb="FFFFF0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2726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1F8F1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5F0FA"/>
          <bgColor rgb="FF000000"/>
        </patternFill>
      </fill>
    </dxf>
    <dxf>
      <fill>
        <patternFill patternType="solid">
          <fgColor rgb="FFFDECEC"/>
          <bgColor rgb="FF000000"/>
        </patternFill>
      </fill>
    </dxf>
    <dxf>
      <fill>
        <patternFill patternType="solid">
          <fgColor rgb="FFFFF0F6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DCE6F2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808080"/>
      </font>
      <fill>
        <patternFill>
          <bgColor rgb="FFE7E6E6"/>
        </patternFill>
      </fill>
    </dxf>
    <dxf>
      <fill>
        <patternFill patternType="solid">
          <fgColor rgb="FFFFF1F1"/>
          <bgColor rgb="FF000000"/>
        </patternFill>
      </fill>
    </dxf>
  </dxfs>
  <colors>
    <indexedColors>
      <rgbColor rgb="FF000000"/>
      <rgbColor rgb="FFFFFFFF"/>
      <rgbColor rgb="FFD60808"/>
      <rgbColor rgb="FF00FF00"/>
      <rgbColor rgb="FF0000FF"/>
      <rgbColor rgb="FFFFF1F1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DCE6F2"/>
      <rgbColor rgb="FF808080"/>
      <rgbColor rgb="FF9999FF"/>
      <rgbColor rgb="FF993366"/>
      <rgbColor rgb="FFFFF4E5"/>
      <rgbColor rgb="FFEEF3FB"/>
      <rgbColor rgb="FF660066"/>
      <rgbColor rgb="FFFF8080"/>
      <rgbColor rgb="FF0563C1"/>
      <rgbColor rgb="FFD9D9D9"/>
      <rgbColor rgb="FF000080"/>
      <rgbColor rgb="FFFF00FF"/>
      <rgbColor rgb="FFFFF0F6"/>
      <rgbColor rgb="FF00FFFF"/>
      <rgbColor rgb="FF800080"/>
      <rgbColor rgb="FF800000"/>
      <rgbColor rgb="FF008080"/>
      <rgbColor rgb="FF0000FF"/>
      <rgbColor rgb="FF00CCFF"/>
      <rgbColor rgb="FFF1F8F1"/>
      <rgbColor rgb="FFC6EFCE"/>
      <rgbColor rgb="FFFFE699"/>
      <rgbColor rgb="FFF2F2F2"/>
      <rgbColor rgb="FFFDECEC"/>
      <rgbColor rgb="FFF5F0FA"/>
      <rgbColor rgb="FFE7E6E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27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Cronograma_Geral_Brigada_2026-2027.xlsx" TargetMode="External"/><Relationship Id="rId3" Type="http://schemas.openxmlformats.org/officeDocument/2006/relationships/hyperlink" Target="Cronograma_Geral_Brigada_2026-2027.xlsx" TargetMode="External"/><Relationship Id="rId4" Type="http://schemas.openxmlformats.org/officeDocument/2006/relationships/hyperlink" Target="Cronograma_Geral_Brigada_2026-2027.xlsx" TargetMode="External"/><Relationship Id="rId5" Type="http://schemas.openxmlformats.org/officeDocument/2006/relationships/hyperlink" Target="Cronograma_Geral_Brigada_2026-2027.xlsx" TargetMode="External"/><Relationship Id="rId6" Type="http://schemas.openxmlformats.org/officeDocument/2006/relationships/hyperlink" Target="Cronograma_Geral_Brigada_2026-2027.xlsx" TargetMode="External"/><Relationship Id="rId7" Type="http://schemas.openxmlformats.org/officeDocument/2006/relationships/hyperlink" Target="Cronograma_Geral_Brigada_2026-2027.xlsx" TargetMode="External"/><Relationship Id="rId8" Type="http://schemas.openxmlformats.org/officeDocument/2006/relationships/hyperlink" Target="Cronograma_Geral_Brigada_2026-2027.xlsx" TargetMode="External"/><Relationship Id="rId9" Type="http://schemas.openxmlformats.org/officeDocument/2006/relationships/hyperlink" Target="Cronograma_Geral_Brigada_2026-2027.xlsx" TargetMode="External"/><Relationship Id="rId10" Type="http://schemas.openxmlformats.org/officeDocument/2006/relationships/hyperlink" Target="Cronograma_Geral_Brigada_2026-2027.xlsx" TargetMode="External"/><Relationship Id="rId11" Type="http://schemas.openxmlformats.org/officeDocument/2006/relationships/hyperlink" Target="Cronograma_Geral_Brigada_2026-2027.xlsx" TargetMode="External"/><Relationship Id="rId12" Type="http://schemas.openxmlformats.org/officeDocument/2006/relationships/hyperlink" Target="Cronograma_Geral_Brigada_2026-2027.xlsx" TargetMode="External"/><Relationship Id="rId13" Type="http://schemas.openxmlformats.org/officeDocument/2006/relationships/hyperlink" Target="Cronograma_Geral_Brigada_2026-2027.xlsx" TargetMode="External"/><Relationship Id="rId14" Type="http://schemas.openxmlformats.org/officeDocument/2006/relationships/hyperlink" Target="Cronograma_Geral_Brigada_2026-2027.xlsx" TargetMode="External"/><Relationship Id="rId15" Type="http://schemas.openxmlformats.org/officeDocument/2006/relationships/hyperlink" Target="Cronograma_Geral_Brigada_2026-2027.xlsx" TargetMode="External"/><Relationship Id="rId16" Type="http://schemas.openxmlformats.org/officeDocument/2006/relationships/hyperlink" Target="Cronograma_Geral_Brigada_2026-2027.xlsx" TargetMode="External"/><Relationship Id="rId17" Type="http://schemas.openxmlformats.org/officeDocument/2006/relationships/hyperlink" Target="Cronograma_Geral_Brigada_2026-2027.xlsx" TargetMode="External"/><Relationship Id="rId18" Type="http://schemas.openxmlformats.org/officeDocument/2006/relationships/hyperlink" Target="Cronograma_Geral_Brigada_2026-2027.xlsx" TargetMode="External"/><Relationship Id="rId19" Type="http://schemas.openxmlformats.org/officeDocument/2006/relationships/hyperlink" Target="Cronograma_Geral_Brigada_2026-2027.xlsx" TargetMode="External"/><Relationship Id="rId20" Type="http://schemas.openxmlformats.org/officeDocument/2006/relationships/hyperlink" Target="Cronograma_Geral_Brigada_2026-2027.xlsx" TargetMode="External"/><Relationship Id="rId21" Type="http://schemas.openxmlformats.org/officeDocument/2006/relationships/hyperlink" Target="Cronograma_Geral_Brigada_2026-2027.xlsx" TargetMode="External"/><Relationship Id="rId22" Type="http://schemas.openxmlformats.org/officeDocument/2006/relationships/hyperlink" Target="Cronograma_Geral_Brigada_2026-2027.xlsx" TargetMode="External"/><Relationship Id="rId23" Type="http://schemas.openxmlformats.org/officeDocument/2006/relationships/hyperlink" Target="Cronograma_Geral_Brigada_2026-2027.xlsx" TargetMode="External"/><Relationship Id="rId24" Type="http://schemas.openxmlformats.org/officeDocument/2006/relationships/hyperlink" Target="Cronograma_Geral_Brigada_2026-2027.xlsx" TargetMode="External"/><Relationship Id="rId25" Type="http://schemas.openxmlformats.org/officeDocument/2006/relationships/drawing" Target="../drawings/drawing1.xml"/><Relationship Id="rId26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Cronograma_Geral_Brigada_2026-2027.xlsx" TargetMode="External"/><Relationship Id="rId2" Type="http://schemas.openxmlformats.org/officeDocument/2006/relationships/hyperlink" Target="Cronograma_Geral_Brigada_2026-2027.xlsx" TargetMode="External"/><Relationship Id="rId3" Type="http://schemas.openxmlformats.org/officeDocument/2006/relationships/hyperlink" Target="Cronograma_Geral_Brigada_2026-2027.xlsx" TargetMode="External"/><Relationship Id="rId4" Type="http://schemas.openxmlformats.org/officeDocument/2006/relationships/hyperlink" Target="Cronograma_Geral_Brigada_2026-2027.xlsx" TargetMode="External"/><Relationship Id="rId5" Type="http://schemas.openxmlformats.org/officeDocument/2006/relationships/hyperlink" Target="Cronograma_Geral_Brigada_2026-2027.xlsx" TargetMode="External"/><Relationship Id="rId6" Type="http://schemas.openxmlformats.org/officeDocument/2006/relationships/hyperlink" Target="Cronograma_Geral_Brigada_2026-2027.xlsx" TargetMode="External"/><Relationship Id="rId7" Type="http://schemas.openxmlformats.org/officeDocument/2006/relationships/hyperlink" Target="Cronograma_Geral_Brigada_2026-2027.xlsx" TargetMode="External"/><Relationship Id="rId8" Type="http://schemas.openxmlformats.org/officeDocument/2006/relationships/hyperlink" Target="Cronograma_Geral_Brigada_2026-2027.xlsx" TargetMode="External"/><Relationship Id="rId9" Type="http://schemas.openxmlformats.org/officeDocument/2006/relationships/hyperlink" Target="Cronograma_Geral_Brigada_2026-2027.xlsx" TargetMode="External"/><Relationship Id="rId10" Type="http://schemas.openxmlformats.org/officeDocument/2006/relationships/hyperlink" Target="Cronograma_Geral_Brigada_2026-2027.xlsx" TargetMode="External"/><Relationship Id="rId11" Type="http://schemas.openxmlformats.org/officeDocument/2006/relationships/hyperlink" Target="Cronograma_Geral_Brigada_2026-2027.xlsx" TargetMode="External"/><Relationship Id="rId12" Type="http://schemas.openxmlformats.org/officeDocument/2006/relationships/hyperlink" Target="Cronograma_Geral_Brigada_2026-2027.xlsx" TargetMode="External"/><Relationship Id="rId13" Type="http://schemas.openxmlformats.org/officeDocument/2006/relationships/hyperlink" Target="Cronograma_Geral_Brigada_2026-2027.xlsx" TargetMode="External"/><Relationship Id="rId14" Type="http://schemas.openxmlformats.org/officeDocument/2006/relationships/hyperlink" Target="Cronograma_Geral_Brigada_2026-2027.xlsx" TargetMode="External"/><Relationship Id="rId15" Type="http://schemas.openxmlformats.org/officeDocument/2006/relationships/hyperlink" Target="Cronograma_Geral_Brigada_2026-2027.xlsx" TargetMode="External"/><Relationship Id="rId16" Type="http://schemas.openxmlformats.org/officeDocument/2006/relationships/hyperlink" Target="Cronograma_Geral_Brigada_2026-2027.xlsx" TargetMode="External"/><Relationship Id="rId17" Type="http://schemas.openxmlformats.org/officeDocument/2006/relationships/hyperlink" Target="Cronograma_Geral_Brigada_2026-2027.xlsx" TargetMode="External"/><Relationship Id="rId18" Type="http://schemas.openxmlformats.org/officeDocument/2006/relationships/hyperlink" Target="Cronograma_Geral_Brigada_2026-2027.xlsx" TargetMode="External"/><Relationship Id="rId19" Type="http://schemas.openxmlformats.org/officeDocument/2006/relationships/hyperlink" Target="Cronograma_Geral_Brigada_2026-2027.xlsx" TargetMode="External"/><Relationship Id="rId20" Type="http://schemas.openxmlformats.org/officeDocument/2006/relationships/hyperlink" Target="Cronograma_Geral_Brigada_2026-2027.xlsx" TargetMode="External"/><Relationship Id="rId21" Type="http://schemas.openxmlformats.org/officeDocument/2006/relationships/hyperlink" Target="Cronograma_Geral_Brigada_2026-2027.xlsx" TargetMode="External"/><Relationship Id="rId22" Type="http://schemas.openxmlformats.org/officeDocument/2006/relationships/hyperlink" Target="Cronograma_Geral_Brigada_2026-2027.xlsx" TargetMode="External"/><Relationship Id="rId23" Type="http://schemas.openxmlformats.org/officeDocument/2006/relationships/hyperlink" Target="Cronograma_Geral_Brigada_2026-2027.xlsx" TargetMode="External"/><Relationship Id="rId24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18" hidden="false" customHeight="true" outlineLevel="0" collapsed="false">
      <c r="B6" s="5" t="s">
        <v>4</v>
      </c>
      <c r="C6" s="4" t="s">
        <v>5</v>
      </c>
    </row>
    <row r="7" customFormat="false" ht="18" hidden="false" customHeight="true" outlineLevel="0" collapsed="false">
      <c r="B7" s="6" t="s">
        <v>6</v>
      </c>
      <c r="C7" s="4" t="s">
        <v>7</v>
      </c>
    </row>
    <row r="8" customFormat="false" ht="18" hidden="false" customHeight="true" outlineLevel="0" collapsed="false">
      <c r="B8" s="7" t="s">
        <v>8</v>
      </c>
      <c r="C8" s="4" t="s">
        <v>9</v>
      </c>
    </row>
    <row r="9" customFormat="false" ht="18" hidden="false" customHeight="true" outlineLevel="0" collapsed="false">
      <c r="B9" s="8" t="s">
        <v>10</v>
      </c>
      <c r="C9" s="4" t="s">
        <v>11</v>
      </c>
    </row>
    <row r="10" customFormat="false" ht="30" hidden="false" customHeight="true" outlineLevel="0" collapsed="false">
      <c r="B10" s="3" t="s">
        <v>12</v>
      </c>
      <c r="C10" s="4" t="s">
        <v>13</v>
      </c>
    </row>
    <row r="11" customFormat="false" ht="120" hidden="false" customHeight="true" outlineLevel="0" collapsed="false">
      <c r="B11" s="3" t="s">
        <v>14</v>
      </c>
      <c r="C11" s="4" t="s">
        <v>15</v>
      </c>
    </row>
    <row r="12" customFormat="false" ht="45" hidden="false" customHeight="true" outlineLevel="0" collapsed="false">
      <c r="B12" s="3" t="s">
        <v>16</v>
      </c>
      <c r="C12" s="4" t="s">
        <v>17</v>
      </c>
    </row>
    <row r="13" customFormat="false" ht="18" hidden="false" customHeight="true" outlineLevel="0" collapsed="false">
      <c r="B13" s="3" t="s">
        <v>18</v>
      </c>
      <c r="C13" s="4" t="s">
        <v>19</v>
      </c>
    </row>
    <row r="15" customFormat="false" ht="42" hidden="false" customHeight="true" outlineLevel="0" collapsed="false">
      <c r="B15" s="3" t="s">
        <v>20</v>
      </c>
      <c r="C15" s="4" t="s">
        <v>21</v>
      </c>
    </row>
    <row r="16" customFormat="false" ht="27.75" hidden="false" customHeight="true" outlineLevel="0" collapsed="false">
      <c r="B16" s="3" t="s">
        <v>22</v>
      </c>
      <c r="C16" s="4" t="s">
        <v>23</v>
      </c>
    </row>
    <row r="17" customFormat="false" ht="27.75" hidden="false" customHeight="true" outlineLevel="0" collapsed="false">
      <c r="B17" s="3" t="s">
        <v>24</v>
      </c>
      <c r="C17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19" min="7" style="0" width="7.5"/>
    <col collapsed="false" customWidth="true" hidden="false" outlineLevel="0" max="22" min="20" style="0" width="10"/>
    <col collapsed="false" customWidth="true" hidden="false" outlineLevel="0" max="23" min="23" style="0" width="46"/>
    <col collapsed="false" customWidth="true" hidden="false" outlineLevel="0" max="24" min="24" style="0" width="11"/>
  </cols>
  <sheetData>
    <row r="1" customFormat="false" ht="17.35" hidden="false" customHeight="false" outlineLevel="0" collapsed="false">
      <c r="A1" s="9" t="s">
        <v>26</v>
      </c>
    </row>
    <row r="2" customFormat="false" ht="15" hidden="false" customHeight="false" outlineLevel="0" collapsed="false">
      <c r="A2" s="10" t="s">
        <v>27</v>
      </c>
    </row>
    <row r="4" customFormat="false" ht="30" hidden="false" customHeight="true" outlineLevel="0" collapsed="false">
      <c r="A4" s="11" t="s">
        <v>28</v>
      </c>
      <c r="B4" s="11" t="s">
        <v>29</v>
      </c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1" t="s">
        <v>35</v>
      </c>
      <c r="I4" s="11" t="s">
        <v>36</v>
      </c>
      <c r="J4" s="11" t="s">
        <v>37</v>
      </c>
      <c r="K4" s="11" t="s">
        <v>38</v>
      </c>
      <c r="L4" s="11" t="s">
        <v>39</v>
      </c>
      <c r="M4" s="11" t="s">
        <v>40</v>
      </c>
      <c r="N4" s="11" t="s">
        <v>41</v>
      </c>
      <c r="O4" s="11" t="s">
        <v>42</v>
      </c>
      <c r="P4" s="11" t="s">
        <v>43</v>
      </c>
      <c r="Q4" s="11" t="s">
        <v>44</v>
      </c>
      <c r="R4" s="11" t="s">
        <v>45</v>
      </c>
      <c r="S4" s="11" t="s">
        <v>46</v>
      </c>
      <c r="T4" s="11" t="s">
        <v>47</v>
      </c>
      <c r="U4" s="11" t="s">
        <v>48</v>
      </c>
      <c r="V4" s="11" t="s">
        <v>49</v>
      </c>
      <c r="W4" s="11" t="s">
        <v>50</v>
      </c>
      <c r="X4" s="11" t="s">
        <v>51</v>
      </c>
    </row>
    <row r="5" customFormat="false" ht="30" hidden="false" customHeight="true" outlineLevel="0" collapsed="false">
      <c r="A5" s="12" t="n">
        <v>1</v>
      </c>
      <c r="B5" s="13" t="s">
        <v>52</v>
      </c>
      <c r="C5" s="14" t="s">
        <v>53</v>
      </c>
      <c r="D5" s="15" t="s">
        <v>54</v>
      </c>
      <c r="E5" s="15" t="s">
        <v>55</v>
      </c>
      <c r="F5" s="15" t="s">
        <v>56</v>
      </c>
      <c r="G5" s="16" t="s">
        <v>6</v>
      </c>
      <c r="H5" s="16"/>
      <c r="I5" s="16" t="s">
        <v>4</v>
      </c>
      <c r="J5" s="16" t="s">
        <v>4</v>
      </c>
      <c r="K5" s="16" t="s">
        <v>4</v>
      </c>
      <c r="L5" s="16" t="s">
        <v>4</v>
      </c>
      <c r="M5" s="16" t="s">
        <v>4</v>
      </c>
      <c r="N5" s="16" t="s">
        <v>4</v>
      </c>
      <c r="O5" s="16" t="s">
        <v>4</v>
      </c>
      <c r="P5" s="16" t="s">
        <v>4</v>
      </c>
      <c r="Q5" s="16" t="s">
        <v>4</v>
      </c>
      <c r="R5" s="16" t="s">
        <v>4</v>
      </c>
      <c r="S5" s="16" t="s">
        <v>4</v>
      </c>
      <c r="T5" s="12" t="n">
        <f aca="false">COUNTIF(G5:S5,"P")+COUNTIF(G5:S5,"R")+COUNTIF(G5:S5,"A")</f>
        <v>12</v>
      </c>
      <c r="U5" s="12" t="n">
        <f aca="false">COUNTIF(G5:S5,"R")</f>
        <v>1</v>
      </c>
      <c r="V5" s="17" t="n">
        <f aca="false">IF(T5=0,"-",U5/T5)</f>
        <v>0.0833333333333333</v>
      </c>
      <c r="W5" s="18" t="s">
        <v>57</v>
      </c>
      <c r="X5" s="19" t="s">
        <v>58</v>
      </c>
    </row>
    <row r="6" customFormat="false" ht="30" hidden="false" customHeight="true" outlineLevel="0" collapsed="false">
      <c r="A6" s="12" t="n">
        <v>2</v>
      </c>
      <c r="B6" s="13" t="s">
        <v>52</v>
      </c>
      <c r="C6" s="14" t="s">
        <v>59</v>
      </c>
      <c r="D6" s="15" t="s">
        <v>60</v>
      </c>
      <c r="E6" s="15" t="s">
        <v>61</v>
      </c>
      <c r="F6" s="15" t="s">
        <v>62</v>
      </c>
      <c r="G6" s="16"/>
      <c r="H6" s="16"/>
      <c r="I6" s="16" t="s">
        <v>6</v>
      </c>
      <c r="J6" s="16" t="s">
        <v>4</v>
      </c>
      <c r="K6" s="16" t="s">
        <v>4</v>
      </c>
      <c r="L6" s="16" t="s">
        <v>4</v>
      </c>
      <c r="M6" s="16" t="s">
        <v>4</v>
      </c>
      <c r="N6" s="16" t="s">
        <v>4</v>
      </c>
      <c r="O6" s="16" t="s">
        <v>4</v>
      </c>
      <c r="P6" s="16" t="s">
        <v>4</v>
      </c>
      <c r="Q6" s="16" t="s">
        <v>4</v>
      </c>
      <c r="R6" s="16" t="s">
        <v>4</v>
      </c>
      <c r="S6" s="16" t="s">
        <v>4</v>
      </c>
      <c r="T6" s="12" t="n">
        <f aca="false">COUNTIF(G6:S6,"P")+COUNTIF(G6:S6,"R")+COUNTIF(G6:S6,"A")</f>
        <v>11</v>
      </c>
      <c r="U6" s="12" t="n">
        <f aca="false">COUNTIF(G6:S6,"R")</f>
        <v>1</v>
      </c>
      <c r="V6" s="17" t="n">
        <f aca="false">IF(T6=0,"-",U6/T6)</f>
        <v>0.0909090909090909</v>
      </c>
      <c r="W6" s="18" t="s">
        <v>63</v>
      </c>
      <c r="X6" s="19" t="s">
        <v>58</v>
      </c>
    </row>
    <row r="7" customFormat="false" ht="30" hidden="false" customHeight="true" outlineLevel="0" collapsed="false">
      <c r="A7" s="12" t="n">
        <v>3</v>
      </c>
      <c r="B7" s="20" t="s">
        <v>64</v>
      </c>
      <c r="C7" s="14" t="s">
        <v>65</v>
      </c>
      <c r="D7" s="15" t="s">
        <v>66</v>
      </c>
      <c r="E7" s="15" t="s">
        <v>67</v>
      </c>
      <c r="F7" s="15" t="s">
        <v>68</v>
      </c>
      <c r="G7" s="16" t="s">
        <v>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 t="s">
        <v>4</v>
      </c>
      <c r="T7" s="12" t="n">
        <f aca="false">COUNTIF(G7:S7,"P")+COUNTIF(G7:S7,"R")+COUNTIF(G7:S7,"A")</f>
        <v>2</v>
      </c>
      <c r="U7" s="12" t="n">
        <f aca="false">COUNTIF(G7:S7,"R")</f>
        <v>1</v>
      </c>
      <c r="V7" s="17" t="n">
        <f aca="false">IF(T7=0,"-",U7/T7)</f>
        <v>0.5</v>
      </c>
      <c r="W7" s="18" t="s">
        <v>69</v>
      </c>
      <c r="X7" s="19" t="s">
        <v>58</v>
      </c>
    </row>
    <row r="8" customFormat="false" ht="30" hidden="false" customHeight="true" outlineLevel="0" collapsed="false">
      <c r="A8" s="12" t="n">
        <v>4</v>
      </c>
      <c r="B8" s="20" t="s">
        <v>64</v>
      </c>
      <c r="C8" s="14" t="s">
        <v>70</v>
      </c>
      <c r="D8" s="15" t="s">
        <v>71</v>
      </c>
      <c r="E8" s="15" t="s">
        <v>72</v>
      </c>
      <c r="F8" s="15" t="s">
        <v>73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2" t="n">
        <f aca="false">COUNTIF(G8:S8,"P")+COUNTIF(G8:S8,"R")+COUNTIF(G8:S8,"A")</f>
        <v>0</v>
      </c>
      <c r="U8" s="12" t="n">
        <f aca="false">COUNTIF(G8:S8,"R")</f>
        <v>0</v>
      </c>
      <c r="V8" s="17" t="str">
        <f aca="false">IF(T8=0,"-",U8/T8)</f>
        <v>-</v>
      </c>
      <c r="W8" s="18" t="s">
        <v>74</v>
      </c>
      <c r="X8" s="19" t="s">
        <v>58</v>
      </c>
    </row>
    <row r="9" customFormat="false" ht="30" hidden="false" customHeight="true" outlineLevel="0" collapsed="false">
      <c r="A9" s="12" t="n">
        <v>5</v>
      </c>
      <c r="B9" s="20" t="s">
        <v>64</v>
      </c>
      <c r="C9" s="14" t="s">
        <v>75</v>
      </c>
      <c r="D9" s="15" t="s">
        <v>76</v>
      </c>
      <c r="E9" s="15" t="s">
        <v>77</v>
      </c>
      <c r="F9" s="15" t="s">
        <v>73</v>
      </c>
      <c r="G9" s="16"/>
      <c r="H9" s="16"/>
      <c r="I9" s="16"/>
      <c r="J9" s="16" t="s">
        <v>4</v>
      </c>
      <c r="K9" s="16" t="s">
        <v>4</v>
      </c>
      <c r="L9" s="16" t="s">
        <v>4</v>
      </c>
      <c r="M9" s="16" t="s">
        <v>4</v>
      </c>
      <c r="N9" s="16" t="s">
        <v>4</v>
      </c>
      <c r="O9" s="16" t="s">
        <v>4</v>
      </c>
      <c r="P9" s="16" t="s">
        <v>4</v>
      </c>
      <c r="Q9" s="16" t="s">
        <v>4</v>
      </c>
      <c r="R9" s="16" t="s">
        <v>4</v>
      </c>
      <c r="S9" s="16" t="s">
        <v>4</v>
      </c>
      <c r="T9" s="12" t="n">
        <f aca="false">COUNTIF(G9:S9,"P")+COUNTIF(G9:S9,"R")+COUNTIF(G9:S9,"A")</f>
        <v>10</v>
      </c>
      <c r="U9" s="12" t="n">
        <f aca="false">COUNTIF(G9:S9,"R")</f>
        <v>0</v>
      </c>
      <c r="V9" s="17" t="n">
        <f aca="false">IF(T9=0,"-",U9/T9)</f>
        <v>0</v>
      </c>
      <c r="W9" s="18" t="s">
        <v>78</v>
      </c>
      <c r="X9" s="19" t="s">
        <v>58</v>
      </c>
    </row>
    <row r="10" customFormat="false" ht="30" hidden="false" customHeight="true" outlineLevel="0" collapsed="false">
      <c r="A10" s="12" t="n">
        <v>6</v>
      </c>
      <c r="B10" s="21" t="s">
        <v>79</v>
      </c>
      <c r="C10" s="14" t="s">
        <v>80</v>
      </c>
      <c r="D10" s="15" t="s">
        <v>81</v>
      </c>
      <c r="E10" s="15" t="s">
        <v>82</v>
      </c>
      <c r="F10" s="15" t="s">
        <v>83</v>
      </c>
      <c r="G10" s="16"/>
      <c r="H10" s="16"/>
      <c r="I10" s="16"/>
      <c r="J10" s="16" t="s">
        <v>4</v>
      </c>
      <c r="K10" s="16"/>
      <c r="L10" s="16"/>
      <c r="M10" s="16"/>
      <c r="N10" s="16"/>
      <c r="O10" s="16"/>
      <c r="P10" s="16" t="s">
        <v>4</v>
      </c>
      <c r="Q10" s="16"/>
      <c r="R10" s="16"/>
      <c r="S10" s="16"/>
      <c r="T10" s="12" t="n">
        <f aca="false">COUNTIF(G10:S10,"P")+COUNTIF(G10:S10,"R")+COUNTIF(G10:S10,"A")</f>
        <v>2</v>
      </c>
      <c r="U10" s="12" t="n">
        <f aca="false">COUNTIF(G10:S10,"R")</f>
        <v>0</v>
      </c>
      <c r="V10" s="17" t="n">
        <f aca="false">IF(T10=0,"-",U10/T10)</f>
        <v>0</v>
      </c>
      <c r="W10" s="18" t="s">
        <v>84</v>
      </c>
      <c r="X10" s="19" t="s">
        <v>58</v>
      </c>
    </row>
    <row r="11" customFormat="false" ht="30" hidden="false" customHeight="true" outlineLevel="0" collapsed="false">
      <c r="A11" s="12" t="n">
        <v>7</v>
      </c>
      <c r="B11" s="21" t="s">
        <v>79</v>
      </c>
      <c r="C11" s="14" t="s">
        <v>85</v>
      </c>
      <c r="D11" s="15" t="s">
        <v>86</v>
      </c>
      <c r="E11" s="15" t="s">
        <v>87</v>
      </c>
      <c r="F11" s="15" t="s">
        <v>88</v>
      </c>
      <c r="G11" s="16"/>
      <c r="H11" s="16"/>
      <c r="I11" s="16"/>
      <c r="J11" s="16"/>
      <c r="K11" s="16"/>
      <c r="L11" s="16"/>
      <c r="M11" s="16"/>
      <c r="N11" s="16" t="s">
        <v>4</v>
      </c>
      <c r="O11" s="16"/>
      <c r="P11" s="16"/>
      <c r="Q11" s="16"/>
      <c r="R11" s="16"/>
      <c r="S11" s="16"/>
      <c r="T11" s="12" t="n">
        <f aca="false">COUNTIF(G11:S11,"P")+COUNTIF(G11:S11,"R")+COUNTIF(G11:S11,"A")</f>
        <v>1</v>
      </c>
      <c r="U11" s="12" t="n">
        <f aca="false">COUNTIF(G11:S11,"R")</f>
        <v>0</v>
      </c>
      <c r="V11" s="17" t="n">
        <f aca="false">IF(T11=0,"-",U11/T11)</f>
        <v>0</v>
      </c>
      <c r="W11" s="18" t="s">
        <v>89</v>
      </c>
      <c r="X11" s="19" t="s">
        <v>58</v>
      </c>
    </row>
    <row r="12" customFormat="false" ht="30" hidden="false" customHeight="true" outlineLevel="0" collapsed="false">
      <c r="A12" s="12" t="n">
        <v>8</v>
      </c>
      <c r="B12" s="22" t="s">
        <v>90</v>
      </c>
      <c r="C12" s="14" t="s">
        <v>91</v>
      </c>
      <c r="D12" s="15" t="s">
        <v>76</v>
      </c>
      <c r="E12" s="15" t="s">
        <v>92</v>
      </c>
      <c r="F12" s="15" t="s">
        <v>93</v>
      </c>
      <c r="G12" s="16"/>
      <c r="H12" s="16"/>
      <c r="I12" s="16"/>
      <c r="J12" s="16" t="s">
        <v>4</v>
      </c>
      <c r="K12" s="16" t="s">
        <v>4</v>
      </c>
      <c r="L12" s="16" t="s">
        <v>4</v>
      </c>
      <c r="M12" s="16" t="s">
        <v>4</v>
      </c>
      <c r="N12" s="16" t="s">
        <v>4</v>
      </c>
      <c r="O12" s="16" t="s">
        <v>4</v>
      </c>
      <c r="P12" s="16" t="s">
        <v>4</v>
      </c>
      <c r="Q12" s="16" t="s">
        <v>4</v>
      </c>
      <c r="R12" s="16" t="s">
        <v>4</v>
      </c>
      <c r="S12" s="16" t="s">
        <v>4</v>
      </c>
      <c r="T12" s="12" t="n">
        <f aca="false">COUNTIF(G12:S12,"P")+COUNTIF(G12:S12,"R")+COUNTIF(G12:S12,"A")</f>
        <v>10</v>
      </c>
      <c r="U12" s="12" t="n">
        <f aca="false">COUNTIF(G12:S12,"R")</f>
        <v>0</v>
      </c>
      <c r="V12" s="17" t="n">
        <f aca="false">IF(T12=0,"-",U12/T12)</f>
        <v>0</v>
      </c>
      <c r="W12" s="23"/>
      <c r="X12" s="19" t="s">
        <v>58</v>
      </c>
    </row>
    <row r="13" customFormat="false" ht="30" hidden="false" customHeight="true" outlineLevel="0" collapsed="false">
      <c r="A13" s="12" t="n">
        <v>9</v>
      </c>
      <c r="B13" s="22" t="s">
        <v>90</v>
      </c>
      <c r="C13" s="14" t="s">
        <v>94</v>
      </c>
      <c r="D13" s="15" t="s">
        <v>95</v>
      </c>
      <c r="E13" s="15" t="s">
        <v>96</v>
      </c>
      <c r="F13" s="15" t="s">
        <v>97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2" t="n">
        <f aca="false">COUNTIF(G13:S13,"P")+COUNTIF(G13:S13,"R")+COUNTIF(G13:S13,"A")</f>
        <v>0</v>
      </c>
      <c r="U13" s="12" t="n">
        <f aca="false">COUNTIF(G13:S13,"R")</f>
        <v>0</v>
      </c>
      <c r="V13" s="17" t="str">
        <f aca="false">IF(T13=0,"-",U13/T13)</f>
        <v>-</v>
      </c>
      <c r="W13" s="18" t="s">
        <v>98</v>
      </c>
      <c r="X13" s="19" t="s">
        <v>58</v>
      </c>
    </row>
    <row r="14" customFormat="false" ht="30" hidden="false" customHeight="true" outlineLevel="0" collapsed="false">
      <c r="A14" s="12" t="n">
        <v>10</v>
      </c>
      <c r="B14" s="22" t="s">
        <v>90</v>
      </c>
      <c r="C14" s="14" t="s">
        <v>99</v>
      </c>
      <c r="D14" s="15" t="s">
        <v>76</v>
      </c>
      <c r="E14" s="15" t="s">
        <v>92</v>
      </c>
      <c r="F14" s="15" t="s">
        <v>100</v>
      </c>
      <c r="G14" s="16"/>
      <c r="H14" s="16"/>
      <c r="I14" s="16"/>
      <c r="J14" s="16" t="s">
        <v>4</v>
      </c>
      <c r="K14" s="16" t="s">
        <v>4</v>
      </c>
      <c r="L14" s="16" t="s">
        <v>4</v>
      </c>
      <c r="M14" s="16" t="s">
        <v>4</v>
      </c>
      <c r="N14" s="16" t="s">
        <v>4</v>
      </c>
      <c r="O14" s="16" t="s">
        <v>4</v>
      </c>
      <c r="P14" s="16" t="s">
        <v>4</v>
      </c>
      <c r="Q14" s="16" t="s">
        <v>4</v>
      </c>
      <c r="R14" s="16" t="s">
        <v>4</v>
      </c>
      <c r="S14" s="16" t="s">
        <v>4</v>
      </c>
      <c r="T14" s="12" t="n">
        <f aca="false">COUNTIF(G14:S14,"P")+COUNTIF(G14:S14,"R")+COUNTIF(G14:S14,"A")</f>
        <v>10</v>
      </c>
      <c r="U14" s="12" t="n">
        <f aca="false">COUNTIF(G14:S14,"R")</f>
        <v>0</v>
      </c>
      <c r="V14" s="17" t="n">
        <f aca="false">IF(T14=0,"-",U14/T14)</f>
        <v>0</v>
      </c>
      <c r="W14" s="23"/>
      <c r="X14" s="19" t="s">
        <v>58</v>
      </c>
    </row>
    <row r="15" customFormat="false" ht="30" hidden="false" customHeight="true" outlineLevel="0" collapsed="false">
      <c r="A15" s="12" t="n">
        <v>11</v>
      </c>
      <c r="B15" s="22" t="s">
        <v>90</v>
      </c>
      <c r="C15" s="14" t="s">
        <v>101</v>
      </c>
      <c r="D15" s="15" t="s">
        <v>102</v>
      </c>
      <c r="E15" s="15" t="s">
        <v>103</v>
      </c>
      <c r="F15" s="15" t="s">
        <v>104</v>
      </c>
      <c r="G15" s="16"/>
      <c r="H15" s="16"/>
      <c r="I15" s="16"/>
      <c r="J15" s="16"/>
      <c r="K15" s="16"/>
      <c r="L15" s="16"/>
      <c r="M15" s="16" t="s">
        <v>4</v>
      </c>
      <c r="N15" s="16"/>
      <c r="O15" s="16"/>
      <c r="P15" s="16"/>
      <c r="Q15" s="16"/>
      <c r="R15" s="16"/>
      <c r="S15" s="16" t="s">
        <v>4</v>
      </c>
      <c r="T15" s="12" t="n">
        <f aca="false">COUNTIF(G15:S15,"P")+COUNTIF(G15:S15,"R")+COUNTIF(G15:S15,"A")</f>
        <v>2</v>
      </c>
      <c r="U15" s="12" t="n">
        <f aca="false">COUNTIF(G15:S15,"R")</f>
        <v>0</v>
      </c>
      <c r="V15" s="17" t="n">
        <f aca="false">IF(T15=0,"-",U15/T15)</f>
        <v>0</v>
      </c>
      <c r="W15" s="18" t="s">
        <v>105</v>
      </c>
      <c r="X15" s="19" t="s">
        <v>58</v>
      </c>
    </row>
    <row r="16" customFormat="false" ht="30" hidden="false" customHeight="true" outlineLevel="0" collapsed="false">
      <c r="A16" s="12" t="n">
        <v>12</v>
      </c>
      <c r="B16" s="22" t="s">
        <v>90</v>
      </c>
      <c r="C16" s="14" t="s">
        <v>106</v>
      </c>
      <c r="D16" s="15" t="s">
        <v>76</v>
      </c>
      <c r="E16" s="15" t="s">
        <v>77</v>
      </c>
      <c r="F16" s="15" t="s">
        <v>107</v>
      </c>
      <c r="G16" s="16"/>
      <c r="H16" s="16"/>
      <c r="I16" s="16"/>
      <c r="J16" s="16" t="s">
        <v>4</v>
      </c>
      <c r="K16" s="16" t="s">
        <v>4</v>
      </c>
      <c r="L16" s="16" t="s">
        <v>4</v>
      </c>
      <c r="M16" s="16" t="s">
        <v>4</v>
      </c>
      <c r="N16" s="16" t="s">
        <v>4</v>
      </c>
      <c r="O16" s="16" t="s">
        <v>4</v>
      </c>
      <c r="P16" s="16" t="s">
        <v>4</v>
      </c>
      <c r="Q16" s="16" t="s">
        <v>4</v>
      </c>
      <c r="R16" s="16" t="s">
        <v>4</v>
      </c>
      <c r="S16" s="16" t="s">
        <v>4</v>
      </c>
      <c r="T16" s="12" t="n">
        <f aca="false">COUNTIF(G16:S16,"P")+COUNTIF(G16:S16,"R")+COUNTIF(G16:S16,"A")</f>
        <v>10</v>
      </c>
      <c r="U16" s="12" t="n">
        <f aca="false">COUNTIF(G16:S16,"R")</f>
        <v>0</v>
      </c>
      <c r="V16" s="17" t="n">
        <f aca="false">IF(T16=0,"-",U16/T16)</f>
        <v>0</v>
      </c>
      <c r="W16" s="18" t="s">
        <v>108</v>
      </c>
      <c r="X16" s="19" t="s">
        <v>58</v>
      </c>
    </row>
    <row r="17" customFormat="false" ht="30" hidden="false" customHeight="true" outlineLevel="0" collapsed="false">
      <c r="A17" s="12" t="n">
        <v>13</v>
      </c>
      <c r="B17" s="22" t="s">
        <v>90</v>
      </c>
      <c r="C17" s="14" t="s">
        <v>109</v>
      </c>
      <c r="D17" s="15" t="s">
        <v>110</v>
      </c>
      <c r="E17" s="15" t="s">
        <v>72</v>
      </c>
      <c r="F17" s="15" t="s">
        <v>107</v>
      </c>
      <c r="G17" s="16"/>
      <c r="H17" s="16"/>
      <c r="I17" s="16"/>
      <c r="J17" s="16" t="s">
        <v>4</v>
      </c>
      <c r="K17" s="16" t="s">
        <v>4</v>
      </c>
      <c r="L17" s="16" t="s">
        <v>4</v>
      </c>
      <c r="M17" s="16" t="s">
        <v>4</v>
      </c>
      <c r="N17" s="16" t="s">
        <v>4</v>
      </c>
      <c r="O17" s="16" t="s">
        <v>4</v>
      </c>
      <c r="P17" s="16" t="s">
        <v>4</v>
      </c>
      <c r="Q17" s="16" t="s">
        <v>4</v>
      </c>
      <c r="R17" s="16" t="s">
        <v>4</v>
      </c>
      <c r="S17" s="16" t="s">
        <v>4</v>
      </c>
      <c r="T17" s="12" t="n">
        <f aca="false">COUNTIF(G17:S17,"P")+COUNTIF(G17:S17,"R")+COUNTIF(G17:S17,"A")</f>
        <v>10</v>
      </c>
      <c r="U17" s="12" t="n">
        <f aca="false">COUNTIF(G17:S17,"R")</f>
        <v>0</v>
      </c>
      <c r="V17" s="17" t="n">
        <f aca="false">IF(T17=0,"-",U17/T17)</f>
        <v>0</v>
      </c>
      <c r="W17" s="18" t="s">
        <v>108</v>
      </c>
      <c r="X17" s="19" t="s">
        <v>58</v>
      </c>
    </row>
    <row r="18" customFormat="false" ht="30" hidden="false" customHeight="true" outlineLevel="0" collapsed="false">
      <c r="A18" s="12" t="n">
        <v>14</v>
      </c>
      <c r="B18" s="22" t="s">
        <v>90</v>
      </c>
      <c r="C18" s="14" t="s">
        <v>111</v>
      </c>
      <c r="D18" s="15" t="s">
        <v>76</v>
      </c>
      <c r="E18" s="15" t="s">
        <v>112</v>
      </c>
      <c r="F18" s="15" t="s">
        <v>113</v>
      </c>
      <c r="G18" s="16"/>
      <c r="H18" s="16"/>
      <c r="I18" s="16"/>
      <c r="J18" s="16" t="s">
        <v>4</v>
      </c>
      <c r="K18" s="16" t="s">
        <v>4</v>
      </c>
      <c r="L18" s="16" t="s">
        <v>4</v>
      </c>
      <c r="M18" s="16" t="s">
        <v>4</v>
      </c>
      <c r="N18" s="16" t="s">
        <v>4</v>
      </c>
      <c r="O18" s="16" t="s">
        <v>4</v>
      </c>
      <c r="P18" s="16" t="s">
        <v>4</v>
      </c>
      <c r="Q18" s="16" t="s">
        <v>4</v>
      </c>
      <c r="R18" s="16" t="s">
        <v>4</v>
      </c>
      <c r="S18" s="16" t="s">
        <v>4</v>
      </c>
      <c r="T18" s="12" t="n">
        <f aca="false">COUNTIF(G18:S18,"P")+COUNTIF(G18:S18,"R")+COUNTIF(G18:S18,"A")</f>
        <v>10</v>
      </c>
      <c r="U18" s="12" t="n">
        <f aca="false">COUNTIF(G18:S18,"R")</f>
        <v>0</v>
      </c>
      <c r="V18" s="17" t="n">
        <f aca="false">IF(T18=0,"-",U18/T18)</f>
        <v>0</v>
      </c>
      <c r="W18" s="23"/>
      <c r="X18" s="19" t="s">
        <v>58</v>
      </c>
    </row>
    <row r="19" customFormat="false" ht="30" hidden="false" customHeight="true" outlineLevel="0" collapsed="false">
      <c r="A19" s="12" t="n">
        <v>15</v>
      </c>
      <c r="B19" s="22" t="s">
        <v>90</v>
      </c>
      <c r="C19" s="14" t="s">
        <v>114</v>
      </c>
      <c r="D19" s="15" t="s">
        <v>76</v>
      </c>
      <c r="E19" s="15" t="s">
        <v>115</v>
      </c>
      <c r="F19" s="15" t="s">
        <v>116</v>
      </c>
      <c r="G19" s="16"/>
      <c r="H19" s="16"/>
      <c r="I19" s="16"/>
      <c r="J19" s="16" t="s">
        <v>4</v>
      </c>
      <c r="K19" s="16" t="s">
        <v>4</v>
      </c>
      <c r="L19" s="16" t="s">
        <v>4</v>
      </c>
      <c r="M19" s="16" t="s">
        <v>4</v>
      </c>
      <c r="N19" s="16" t="s">
        <v>4</v>
      </c>
      <c r="O19" s="16" t="s">
        <v>4</v>
      </c>
      <c r="P19" s="16" t="s">
        <v>4</v>
      </c>
      <c r="Q19" s="16" t="s">
        <v>4</v>
      </c>
      <c r="R19" s="16" t="s">
        <v>4</v>
      </c>
      <c r="S19" s="16" t="s">
        <v>4</v>
      </c>
      <c r="T19" s="12" t="n">
        <f aca="false">COUNTIF(G19:S19,"P")+COUNTIF(G19:S19,"R")+COUNTIF(G19:S19,"A")</f>
        <v>10</v>
      </c>
      <c r="U19" s="12" t="n">
        <f aca="false">COUNTIF(G19:S19,"R")</f>
        <v>0</v>
      </c>
      <c r="V19" s="17" t="n">
        <f aca="false">IF(T19=0,"-",U19/T19)</f>
        <v>0</v>
      </c>
      <c r="W19" s="23"/>
      <c r="X19" s="19" t="s">
        <v>58</v>
      </c>
    </row>
    <row r="20" customFormat="false" ht="30" hidden="false" customHeight="true" outlineLevel="0" collapsed="false">
      <c r="A20" s="12" t="n">
        <v>16</v>
      </c>
      <c r="B20" s="22" t="s">
        <v>90</v>
      </c>
      <c r="C20" s="14" t="s">
        <v>117</v>
      </c>
      <c r="D20" s="15" t="s">
        <v>118</v>
      </c>
      <c r="E20" s="15" t="s">
        <v>119</v>
      </c>
      <c r="F20" s="15" t="s">
        <v>120</v>
      </c>
      <c r="G20" s="16"/>
      <c r="H20" s="16"/>
      <c r="I20" s="16"/>
      <c r="J20" s="16" t="s">
        <v>4</v>
      </c>
      <c r="K20" s="16"/>
      <c r="L20" s="16"/>
      <c r="M20" s="16" t="s">
        <v>4</v>
      </c>
      <c r="N20" s="16"/>
      <c r="O20" s="16"/>
      <c r="P20" s="16" t="s">
        <v>4</v>
      </c>
      <c r="Q20" s="16"/>
      <c r="R20" s="16"/>
      <c r="S20" s="16" t="s">
        <v>4</v>
      </c>
      <c r="T20" s="12" t="n">
        <f aca="false">COUNTIF(G20:S20,"P")+COUNTIF(G20:S20,"R")+COUNTIF(G20:S20,"A")</f>
        <v>4</v>
      </c>
      <c r="U20" s="12" t="n">
        <f aca="false">COUNTIF(G20:S20,"R")</f>
        <v>0</v>
      </c>
      <c r="V20" s="17" t="n">
        <f aca="false">IF(T20=0,"-",U20/T20)</f>
        <v>0</v>
      </c>
      <c r="W20" s="18" t="s">
        <v>121</v>
      </c>
      <c r="X20" s="19" t="s">
        <v>58</v>
      </c>
    </row>
    <row r="21" customFormat="false" ht="30" hidden="false" customHeight="true" outlineLevel="0" collapsed="false">
      <c r="A21" s="12" t="n">
        <v>17</v>
      </c>
      <c r="B21" s="24" t="s">
        <v>122</v>
      </c>
      <c r="C21" s="14" t="s">
        <v>123</v>
      </c>
      <c r="D21" s="15" t="s">
        <v>124</v>
      </c>
      <c r="E21" s="15" t="s">
        <v>125</v>
      </c>
      <c r="F21" s="15" t="s">
        <v>126</v>
      </c>
      <c r="G21" s="16"/>
      <c r="H21" s="16"/>
      <c r="I21" s="16"/>
      <c r="J21" s="16" t="s">
        <v>4</v>
      </c>
      <c r="K21" s="16" t="s">
        <v>4</v>
      </c>
      <c r="L21" s="16" t="s">
        <v>4</v>
      </c>
      <c r="M21" s="16" t="s">
        <v>4</v>
      </c>
      <c r="N21" s="16" t="s">
        <v>4</v>
      </c>
      <c r="O21" s="16" t="s">
        <v>4</v>
      </c>
      <c r="P21" s="16" t="s">
        <v>4</v>
      </c>
      <c r="Q21" s="16" t="s">
        <v>4</v>
      </c>
      <c r="R21" s="16" t="s">
        <v>4</v>
      </c>
      <c r="S21" s="16" t="s">
        <v>4</v>
      </c>
      <c r="T21" s="12" t="n">
        <f aca="false">COUNTIF(G21:S21,"P")+COUNTIF(G21:S21,"R")+COUNTIF(G21:S21,"A")</f>
        <v>10</v>
      </c>
      <c r="U21" s="12" t="n">
        <f aca="false">COUNTIF(G21:S21,"R")</f>
        <v>0</v>
      </c>
      <c r="V21" s="17" t="n">
        <f aca="false">IF(T21=0,"-",U21/T21)</f>
        <v>0</v>
      </c>
      <c r="W21" s="23"/>
      <c r="X21" s="19" t="s">
        <v>58</v>
      </c>
    </row>
    <row r="22" customFormat="false" ht="30" hidden="false" customHeight="true" outlineLevel="0" collapsed="false">
      <c r="A22" s="12" t="n">
        <v>18</v>
      </c>
      <c r="B22" s="24" t="s">
        <v>122</v>
      </c>
      <c r="C22" s="14" t="s">
        <v>127</v>
      </c>
      <c r="D22" s="15" t="s">
        <v>118</v>
      </c>
      <c r="E22" s="15" t="s">
        <v>72</v>
      </c>
      <c r="F22" s="15" t="s">
        <v>128</v>
      </c>
      <c r="G22" s="16"/>
      <c r="H22" s="16"/>
      <c r="I22" s="16"/>
      <c r="J22" s="16" t="s">
        <v>4</v>
      </c>
      <c r="K22" s="16"/>
      <c r="L22" s="16"/>
      <c r="M22" s="16" t="s">
        <v>4</v>
      </c>
      <c r="N22" s="16"/>
      <c r="O22" s="16"/>
      <c r="P22" s="16" t="s">
        <v>4</v>
      </c>
      <c r="Q22" s="16"/>
      <c r="R22" s="16"/>
      <c r="S22" s="16" t="s">
        <v>4</v>
      </c>
      <c r="T22" s="12" t="n">
        <f aca="false">COUNTIF(G22:S22,"P")+COUNTIF(G22:S22,"R")+COUNTIF(G22:S22,"A")</f>
        <v>4</v>
      </c>
      <c r="U22" s="12" t="n">
        <f aca="false">COUNTIF(G22:S22,"R")</f>
        <v>0</v>
      </c>
      <c r="V22" s="17" t="n">
        <f aca="false">IF(T22=0,"-",U22/T22)</f>
        <v>0</v>
      </c>
      <c r="W22" s="23"/>
      <c r="X22" s="19" t="s">
        <v>58</v>
      </c>
    </row>
    <row r="23" customFormat="false" ht="30" hidden="false" customHeight="true" outlineLevel="0" collapsed="false">
      <c r="A23" s="12" t="n">
        <v>19</v>
      </c>
      <c r="B23" s="24" t="s">
        <v>122</v>
      </c>
      <c r="C23" s="14" t="s">
        <v>129</v>
      </c>
      <c r="D23" s="15" t="s">
        <v>66</v>
      </c>
      <c r="E23" s="15" t="s">
        <v>130</v>
      </c>
      <c r="F23" s="15" t="s">
        <v>131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 t="s">
        <v>4</v>
      </c>
      <c r="R23" s="16"/>
      <c r="S23" s="16"/>
      <c r="T23" s="12" t="n">
        <f aca="false">COUNTIF(G23:S23,"P")+COUNTIF(G23:S23,"R")+COUNTIF(G23:S23,"A")</f>
        <v>1</v>
      </c>
      <c r="U23" s="12" t="n">
        <f aca="false">COUNTIF(G23:S23,"R")</f>
        <v>0</v>
      </c>
      <c r="V23" s="17" t="n">
        <f aca="false">IF(T23=0,"-",U23/T23)</f>
        <v>0</v>
      </c>
      <c r="W23" s="18" t="s">
        <v>132</v>
      </c>
      <c r="X23" s="19" t="s">
        <v>58</v>
      </c>
    </row>
    <row r="24" customFormat="false" ht="30" hidden="false" customHeight="true" outlineLevel="0" collapsed="false">
      <c r="A24" s="12" t="n">
        <v>20</v>
      </c>
      <c r="B24" s="25" t="s">
        <v>133</v>
      </c>
      <c r="C24" s="14" t="s">
        <v>134</v>
      </c>
      <c r="D24" s="15" t="s">
        <v>66</v>
      </c>
      <c r="E24" s="15" t="s">
        <v>135</v>
      </c>
      <c r="F24" s="15" t="s">
        <v>136</v>
      </c>
      <c r="G24" s="16"/>
      <c r="H24" s="16"/>
      <c r="I24" s="16"/>
      <c r="J24" s="16"/>
      <c r="K24" s="16"/>
      <c r="L24" s="16"/>
      <c r="M24" s="16"/>
      <c r="N24" s="16"/>
      <c r="O24" s="16" t="s">
        <v>4</v>
      </c>
      <c r="P24" s="16"/>
      <c r="Q24" s="16"/>
      <c r="R24" s="16"/>
      <c r="S24" s="16"/>
      <c r="T24" s="12" t="n">
        <f aca="false">COUNTIF(G24:S24,"P")+COUNTIF(G24:S24,"R")+COUNTIF(G24:S24,"A")</f>
        <v>1</v>
      </c>
      <c r="U24" s="12" t="n">
        <f aca="false">COUNTIF(G24:S24,"R")</f>
        <v>0</v>
      </c>
      <c r="V24" s="17" t="n">
        <f aca="false">IF(T24=0,"-",U24/T24)</f>
        <v>0</v>
      </c>
      <c r="W24" s="18" t="s">
        <v>137</v>
      </c>
      <c r="X24" s="19" t="s">
        <v>58</v>
      </c>
    </row>
    <row r="25" customFormat="false" ht="30" hidden="false" customHeight="true" outlineLevel="0" collapsed="false">
      <c r="A25" s="12" t="n">
        <v>21</v>
      </c>
      <c r="B25" s="25" t="s">
        <v>133</v>
      </c>
      <c r="C25" s="14" t="s">
        <v>138</v>
      </c>
      <c r="D25" s="15" t="s">
        <v>118</v>
      </c>
      <c r="E25" s="15" t="s">
        <v>139</v>
      </c>
      <c r="F25" s="15" t="s">
        <v>140</v>
      </c>
      <c r="G25" s="16"/>
      <c r="H25" s="16"/>
      <c r="I25" s="16"/>
      <c r="J25" s="16" t="s">
        <v>4</v>
      </c>
      <c r="K25" s="16"/>
      <c r="L25" s="16"/>
      <c r="M25" s="16" t="s">
        <v>4</v>
      </c>
      <c r="N25" s="16"/>
      <c r="O25" s="16"/>
      <c r="P25" s="16" t="s">
        <v>4</v>
      </c>
      <c r="Q25" s="16"/>
      <c r="R25" s="16"/>
      <c r="S25" s="16" t="s">
        <v>4</v>
      </c>
      <c r="T25" s="12" t="n">
        <f aca="false">COUNTIF(G25:S25,"P")+COUNTIF(G25:S25,"R")+COUNTIF(G25:S25,"A")</f>
        <v>4</v>
      </c>
      <c r="U25" s="12" t="n">
        <f aca="false">COUNTIF(G25:S25,"R")</f>
        <v>0</v>
      </c>
      <c r="V25" s="17" t="n">
        <f aca="false">IF(T25=0,"-",U25/T25)</f>
        <v>0</v>
      </c>
      <c r="W25" s="18" t="s">
        <v>141</v>
      </c>
      <c r="X25" s="19" t="s">
        <v>58</v>
      </c>
    </row>
    <row r="26" customFormat="false" ht="30" hidden="false" customHeight="true" outlineLevel="0" collapsed="false">
      <c r="A26" s="12" t="n">
        <v>22</v>
      </c>
      <c r="B26" s="26" t="s">
        <v>142</v>
      </c>
      <c r="C26" s="14" t="s">
        <v>143</v>
      </c>
      <c r="D26" s="15" t="s">
        <v>66</v>
      </c>
      <c r="E26" s="15" t="s">
        <v>144</v>
      </c>
      <c r="F26" s="15" t="s">
        <v>145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 t="s">
        <v>4</v>
      </c>
      <c r="S26" s="16"/>
      <c r="T26" s="12" t="n">
        <f aca="false">COUNTIF(G26:S26,"P")+COUNTIF(G26:S26,"R")+COUNTIF(G26:S26,"A")</f>
        <v>1</v>
      </c>
      <c r="U26" s="12" t="n">
        <f aca="false">COUNTIF(G26:S26,"R")</f>
        <v>0</v>
      </c>
      <c r="V26" s="17" t="n">
        <f aca="false">IF(T26=0,"-",U26/T26)</f>
        <v>0</v>
      </c>
      <c r="W26" s="23"/>
      <c r="X26" s="19" t="s">
        <v>58</v>
      </c>
    </row>
    <row r="27" customFormat="false" ht="30" hidden="false" customHeight="true" outlineLevel="0" collapsed="false">
      <c r="A27" s="12" t="n">
        <v>23</v>
      </c>
      <c r="B27" s="26" t="s">
        <v>142</v>
      </c>
      <c r="C27" s="14" t="s">
        <v>146</v>
      </c>
      <c r="D27" s="15" t="s">
        <v>66</v>
      </c>
      <c r="E27" s="15" t="s">
        <v>147</v>
      </c>
      <c r="F27" s="15" t="s">
        <v>148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 t="s">
        <v>4</v>
      </c>
      <c r="S27" s="16"/>
      <c r="T27" s="12" t="n">
        <f aca="false">COUNTIF(G27:S27,"P")+COUNTIF(G27:S27,"R")+COUNTIF(G27:S27,"A")</f>
        <v>1</v>
      </c>
      <c r="U27" s="12" t="n">
        <f aca="false">COUNTIF(G27:S27,"R")</f>
        <v>0</v>
      </c>
      <c r="V27" s="17" t="n">
        <f aca="false">IF(T27=0,"-",U27/T27)</f>
        <v>0</v>
      </c>
      <c r="W27" s="18" t="s">
        <v>149</v>
      </c>
      <c r="X27" s="19" t="s">
        <v>58</v>
      </c>
    </row>
    <row r="29" customFormat="false" ht="15" hidden="false" customHeight="false" outlineLevel="0" collapsed="false">
      <c r="C29" s="27" t="s">
        <v>150</v>
      </c>
      <c r="G29" s="28" t="n">
        <f aca="false">COUNTIF(G5:G27,"P")+COUNTIF(G5:G27,"R")+COUNTIF(G5:G27,"A")</f>
        <v>2</v>
      </c>
      <c r="H29" s="28" t="n">
        <f aca="false">COUNTIF(H5:H27,"P")+COUNTIF(H5:H27,"R")+COUNTIF(H5:H27,"A")</f>
        <v>0</v>
      </c>
      <c r="I29" s="28" t="n">
        <f aca="false">COUNTIF(I5:I27,"P")+COUNTIF(I5:I27,"R")+COUNTIF(I5:I27,"A")</f>
        <v>2</v>
      </c>
      <c r="J29" s="28" t="n">
        <f aca="false">COUNTIF(J5:J27,"P")+COUNTIF(J5:J27,"R")+COUNTIF(J5:J27,"A")</f>
        <v>14</v>
      </c>
      <c r="K29" s="28" t="n">
        <f aca="false">COUNTIF(K5:K27,"P")+COUNTIF(K5:K27,"R")+COUNTIF(K5:K27,"A")</f>
        <v>10</v>
      </c>
      <c r="L29" s="28" t="n">
        <f aca="false">COUNTIF(L5:L27,"P")+COUNTIF(L5:L27,"R")+COUNTIF(L5:L27,"A")</f>
        <v>10</v>
      </c>
      <c r="M29" s="28" t="n">
        <f aca="false">COUNTIF(M5:M27,"P")+COUNTIF(M5:M27,"R")+COUNTIF(M5:M27,"A")</f>
        <v>14</v>
      </c>
      <c r="N29" s="28" t="n">
        <f aca="false">COUNTIF(N5:N27,"P")+COUNTIF(N5:N27,"R")+COUNTIF(N5:N27,"A")</f>
        <v>11</v>
      </c>
      <c r="O29" s="28" t="n">
        <f aca="false">COUNTIF(O5:O27,"P")+COUNTIF(O5:O27,"R")+COUNTIF(O5:O27,"A")</f>
        <v>11</v>
      </c>
      <c r="P29" s="28" t="n">
        <f aca="false">COUNTIF(P5:P27,"P")+COUNTIF(P5:P27,"R")+COUNTIF(P5:P27,"A")</f>
        <v>14</v>
      </c>
      <c r="Q29" s="28" t="n">
        <f aca="false">COUNTIF(Q5:Q27,"P")+COUNTIF(Q5:Q27,"R")+COUNTIF(Q5:Q27,"A")</f>
        <v>11</v>
      </c>
      <c r="R29" s="28" t="n">
        <f aca="false">COUNTIF(R5:R27,"P")+COUNTIF(R5:R27,"R")+COUNTIF(R5:R27,"A")</f>
        <v>12</v>
      </c>
      <c r="S29" s="28" t="n">
        <f aca="false">COUNTIF(S5:S27,"P")+COUNTIF(S5:S27,"R")+COUNTIF(S5:S27,"A")</f>
        <v>15</v>
      </c>
      <c r="T29" s="28" t="n">
        <f aca="false">SUM(T5:T27)</f>
        <v>126</v>
      </c>
    </row>
    <row r="30" customFormat="false" ht="15" hidden="false" customHeight="false" outlineLevel="0" collapsed="false">
      <c r="C30" s="27" t="s">
        <v>151</v>
      </c>
      <c r="G30" s="28" t="n">
        <f aca="false">COUNTIF(G5:G27,"R")</f>
        <v>2</v>
      </c>
      <c r="H30" s="28" t="n">
        <f aca="false">COUNTIF(H5:H27,"R")</f>
        <v>0</v>
      </c>
      <c r="I30" s="28" t="n">
        <f aca="false">COUNTIF(I5:I27,"R")</f>
        <v>1</v>
      </c>
      <c r="J30" s="28" t="n">
        <f aca="false">COUNTIF(J5:J27,"R")</f>
        <v>0</v>
      </c>
      <c r="K30" s="28" t="n">
        <f aca="false">COUNTIF(K5:K27,"R")</f>
        <v>0</v>
      </c>
      <c r="L30" s="28" t="n">
        <f aca="false">COUNTIF(L5:L27,"R")</f>
        <v>0</v>
      </c>
      <c r="M30" s="28" t="n">
        <f aca="false">COUNTIF(M5:M27,"R")</f>
        <v>0</v>
      </c>
      <c r="N30" s="28" t="n">
        <f aca="false">COUNTIF(N5:N27,"R")</f>
        <v>0</v>
      </c>
      <c r="O30" s="28" t="n">
        <f aca="false">COUNTIF(O5:O27,"R")</f>
        <v>0</v>
      </c>
      <c r="P30" s="28" t="n">
        <f aca="false">COUNTIF(P5:P27,"R")</f>
        <v>0</v>
      </c>
      <c r="Q30" s="28" t="n">
        <f aca="false">COUNTIF(Q5:Q27,"R")</f>
        <v>0</v>
      </c>
      <c r="R30" s="28" t="n">
        <f aca="false">COUNTIF(R5:R27,"R")</f>
        <v>0</v>
      </c>
      <c r="S30" s="28" t="n">
        <f aca="false">COUNTIF(S5:S27,"R")</f>
        <v>0</v>
      </c>
      <c r="U30" s="28" t="n">
        <f aca="false">SUM(U5:U27)</f>
        <v>3</v>
      </c>
    </row>
    <row r="31" customFormat="false" ht="15" hidden="false" customHeight="false" outlineLevel="0" collapsed="false">
      <c r="C31" s="27" t="s">
        <v>152</v>
      </c>
      <c r="G31" s="29" t="n">
        <f aca="false">IF(G29=0,"-",G30/G29)</f>
        <v>1</v>
      </c>
      <c r="H31" s="29" t="str">
        <f aca="false">IF(H29=0,"-",H30/H29)</f>
        <v>-</v>
      </c>
      <c r="I31" s="29" t="n">
        <f aca="false">IF(I29=0,"-",I30/I29)</f>
        <v>0.5</v>
      </c>
      <c r="J31" s="29" t="n">
        <f aca="false">IF(J29=0,"-",J30/J29)</f>
        <v>0</v>
      </c>
      <c r="K31" s="29" t="n">
        <f aca="false">IF(K29=0,"-",K30/K29)</f>
        <v>0</v>
      </c>
      <c r="L31" s="29" t="n">
        <f aca="false">IF(L29=0,"-",L30/L29)</f>
        <v>0</v>
      </c>
      <c r="M31" s="29" t="n">
        <f aca="false">IF(M29=0,"-",M30/M29)</f>
        <v>0</v>
      </c>
      <c r="N31" s="29" t="n">
        <f aca="false">IF(N29=0,"-",N30/N29)</f>
        <v>0</v>
      </c>
      <c r="O31" s="29" t="n">
        <f aca="false">IF(O29=0,"-",O30/O29)</f>
        <v>0</v>
      </c>
      <c r="P31" s="29" t="n">
        <f aca="false">IF(P29=0,"-",P30/P29)</f>
        <v>0</v>
      </c>
      <c r="Q31" s="29" t="n">
        <f aca="false">IF(Q29=0,"-",Q30/Q29)</f>
        <v>0</v>
      </c>
      <c r="R31" s="29" t="n">
        <f aca="false">IF(R29=0,"-",R30/R29)</f>
        <v>0</v>
      </c>
      <c r="S31" s="29" t="n">
        <f aca="false">IF(S29=0,"-",S30/S29)</f>
        <v>0</v>
      </c>
      <c r="T31" s="30" t="s">
        <v>153</v>
      </c>
      <c r="V31" s="31" t="n">
        <f aca="false">IF(T29=0,"-",U30/T29)</f>
        <v>0.0238095238095238</v>
      </c>
    </row>
  </sheetData>
  <autoFilter ref="A4:X27"/>
  <conditionalFormatting sqref="G5:S27">
    <cfRule type="cellIs" priority="2" operator="equal" aboveAverage="0" equalAverage="0" bottom="0" percent="0" rank="0" text="" dxfId="17">
      <formula>"P"</formula>
    </cfRule>
    <cfRule type="cellIs" priority="3" operator="equal" aboveAverage="0" equalAverage="0" bottom="0" percent="0" rank="0" text="" dxfId="18">
      <formula>"R"</formula>
    </cfRule>
    <cfRule type="cellIs" priority="4" operator="equal" aboveAverage="0" equalAverage="0" bottom="0" percent="0" rank="0" text="" dxfId="19">
      <formula>"A"</formula>
    </cfRule>
    <cfRule type="cellIs" priority="5" operator="equal" aboveAverage="0" equalAverage="0" bottom="0" percent="0" rank="0" text="" dxfId="20">
      <formula>"C"</formula>
    </cfRule>
  </conditionalFormatting>
  <dataValidations count="1">
    <dataValidation allowBlank="true" error="Use P (prevista), R (realizada), A (adiada) ou C (cancelada)." errorStyle="stop" errorTitle="Valor inválido" operator="between" showDropDown="false" showErrorMessage="true" showInputMessage="false" sqref="G5:S27" type="list">
      <formula1>"P,R,A,C"</formula1>
      <formula2>0</formula2>
    </dataValidation>
  </dataValidations>
  <hyperlinks>
    <hyperlink ref="X5" r:id="rId2" location="'Detalhes'!A5" display="ver ›"/>
    <hyperlink ref="X6" r:id="rId3" location="'Detalhes'!A6" display="ver ›"/>
    <hyperlink ref="X7" r:id="rId4" location="'Detalhes'!A7" display="ver ›"/>
    <hyperlink ref="X8" r:id="rId5" location="'Detalhes'!A8" display="ver ›"/>
    <hyperlink ref="X9" r:id="rId6" location="'Detalhes'!A9" display="ver ›"/>
    <hyperlink ref="X10" r:id="rId7" location="'Detalhes'!A19" display="ver ›"/>
    <hyperlink ref="X11" r:id="rId8" location="'Detalhes'!A20" display="ver ›"/>
    <hyperlink ref="X12" r:id="rId9" location="'Detalhes'!A21" display="ver ›"/>
    <hyperlink ref="X13" r:id="rId10" location="'Detalhes'!A22" display="ver ›"/>
    <hyperlink ref="X14" r:id="rId11" location="'Detalhes'!A23" display="ver ›"/>
    <hyperlink ref="X15" r:id="rId12" location="'Detalhes'!A24" display="ver ›"/>
    <hyperlink ref="X16" r:id="rId13" location="'Detalhes'!A25" display="ver ›"/>
    <hyperlink ref="X17" r:id="rId14" location="'Detalhes'!A26" display="ver ›"/>
    <hyperlink ref="X18" r:id="rId15" location="'Detalhes'!A27" display="ver ›"/>
    <hyperlink ref="X19" r:id="rId16" location="'Detalhes'!A28" display="ver ›"/>
    <hyperlink ref="X20" r:id="rId17" location="'Detalhes'!A29" display="ver ›"/>
    <hyperlink ref="X21" r:id="rId18" location="'Detalhes'!A30" display="ver ›"/>
    <hyperlink ref="X22" r:id="rId19" location="'Detalhes'!A31" display="ver ›"/>
    <hyperlink ref="X23" r:id="rId20" location="'Detalhes'!A32" display="ver ›"/>
    <hyperlink ref="X24" r:id="rId21" location="'Detalhes'!A33" display="ver ›"/>
    <hyperlink ref="X25" r:id="rId22" location="'Detalhes'!A34" display="ver ›"/>
    <hyperlink ref="X26" r:id="rId23" location="'Detalhes'!A35" display="ver ›"/>
    <hyperlink ref="X27" r:id="rId24" location="'Detalhes'!A36" display="ver ›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5"/>
  <legacy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62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1" min="10" style="0" width="13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9" t="s">
        <v>154</v>
      </c>
    </row>
    <row r="2" customFormat="false" ht="15" hidden="false" customHeight="false" outlineLevel="0" collapsed="false">
      <c r="A2" s="10" t="s">
        <v>155</v>
      </c>
    </row>
    <row r="4" customFormat="false" ht="30" hidden="false" customHeight="true" outlineLevel="0" collapsed="false">
      <c r="A4" s="11" t="s">
        <v>28</v>
      </c>
      <c r="B4" s="11" t="s">
        <v>29</v>
      </c>
      <c r="C4" s="11" t="s">
        <v>30</v>
      </c>
      <c r="D4" s="11" t="s">
        <v>156</v>
      </c>
      <c r="E4" s="11" t="s">
        <v>157</v>
      </c>
      <c r="F4" s="11" t="s">
        <v>158</v>
      </c>
      <c r="G4" s="11" t="s">
        <v>159</v>
      </c>
      <c r="H4" s="11" t="s">
        <v>160</v>
      </c>
      <c r="I4" s="11" t="s">
        <v>32</v>
      </c>
      <c r="J4" s="11" t="s">
        <v>161</v>
      </c>
      <c r="K4" s="11" t="s">
        <v>162</v>
      </c>
      <c r="L4" s="11" t="s">
        <v>163</v>
      </c>
    </row>
    <row r="5" customFormat="false" ht="72" hidden="false" customHeight="true" outlineLevel="0" collapsed="false">
      <c r="A5" s="19" t="n">
        <v>1</v>
      </c>
      <c r="B5" s="32" t="s">
        <v>52</v>
      </c>
      <c r="C5" s="33" t="s">
        <v>53</v>
      </c>
      <c r="D5" s="34" t="s">
        <v>54</v>
      </c>
      <c r="E5" s="23" t="s">
        <v>164</v>
      </c>
      <c r="F5" s="23" t="s">
        <v>165</v>
      </c>
      <c r="G5" s="23" t="s">
        <v>166</v>
      </c>
      <c r="H5" s="23" t="s">
        <v>167</v>
      </c>
      <c r="I5" s="23" t="s">
        <v>55</v>
      </c>
      <c r="J5" s="35"/>
      <c r="K5" s="34"/>
      <c r="L5" s="18" t="s">
        <v>57</v>
      </c>
    </row>
    <row r="6" customFormat="false" ht="72" hidden="false" customHeight="true" outlineLevel="0" collapsed="false">
      <c r="A6" s="19" t="n">
        <v>2</v>
      </c>
      <c r="B6" s="32" t="s">
        <v>52</v>
      </c>
      <c r="C6" s="33" t="s">
        <v>59</v>
      </c>
      <c r="D6" s="34" t="s">
        <v>60</v>
      </c>
      <c r="E6" s="23" t="s">
        <v>164</v>
      </c>
      <c r="F6" s="23" t="s">
        <v>168</v>
      </c>
      <c r="G6" s="23" t="s">
        <v>169</v>
      </c>
      <c r="H6" s="23" t="s">
        <v>62</v>
      </c>
      <c r="I6" s="23" t="s">
        <v>61</v>
      </c>
      <c r="J6" s="35"/>
      <c r="K6" s="34"/>
      <c r="L6" s="18" t="s">
        <v>63</v>
      </c>
    </row>
    <row r="7" customFormat="false" ht="72" hidden="false" customHeight="true" outlineLevel="0" collapsed="false">
      <c r="A7" s="19" t="n">
        <v>3</v>
      </c>
      <c r="B7" s="36" t="s">
        <v>64</v>
      </c>
      <c r="C7" s="33" t="s">
        <v>65</v>
      </c>
      <c r="D7" s="34" t="s">
        <v>66</v>
      </c>
      <c r="E7" s="23" t="s">
        <v>164</v>
      </c>
      <c r="F7" s="23" t="s">
        <v>170</v>
      </c>
      <c r="G7" s="23" t="s">
        <v>171</v>
      </c>
      <c r="H7" s="23" t="s">
        <v>172</v>
      </c>
      <c r="I7" s="23" t="s">
        <v>67</v>
      </c>
      <c r="J7" s="35"/>
      <c r="K7" s="34"/>
      <c r="L7" s="18" t="s">
        <v>69</v>
      </c>
    </row>
    <row r="8" customFormat="false" ht="55.5" hidden="false" customHeight="true" outlineLevel="0" collapsed="false">
      <c r="A8" s="19" t="n">
        <v>4</v>
      </c>
      <c r="B8" s="36" t="s">
        <v>64</v>
      </c>
      <c r="C8" s="33" t="s">
        <v>70</v>
      </c>
      <c r="D8" s="34" t="s">
        <v>71</v>
      </c>
      <c r="E8" s="23" t="s">
        <v>164</v>
      </c>
      <c r="F8" s="23" t="s">
        <v>173</v>
      </c>
      <c r="G8" s="23" t="s">
        <v>174</v>
      </c>
      <c r="H8" s="23" t="s">
        <v>175</v>
      </c>
      <c r="I8" s="23" t="s">
        <v>72</v>
      </c>
      <c r="J8" s="35"/>
      <c r="K8" s="34"/>
      <c r="L8" s="18" t="s">
        <v>74</v>
      </c>
    </row>
    <row r="9" customFormat="false" ht="79.5" hidden="false" customHeight="true" outlineLevel="0" collapsed="false">
      <c r="A9" s="19" t="s">
        <v>176</v>
      </c>
      <c r="B9" s="36" t="s">
        <v>64</v>
      </c>
      <c r="C9" s="37" t="s">
        <v>75</v>
      </c>
      <c r="D9" s="38" t="s">
        <v>37</v>
      </c>
      <c r="E9" s="37" t="s">
        <v>177</v>
      </c>
      <c r="F9" s="39" t="s">
        <v>178</v>
      </c>
      <c r="G9" s="39" t="s">
        <v>179</v>
      </c>
      <c r="H9" s="39" t="s">
        <v>180</v>
      </c>
      <c r="I9" s="39" t="s">
        <v>77</v>
      </c>
      <c r="J9" s="40"/>
      <c r="K9" s="38"/>
      <c r="L9" s="41" t="s">
        <v>181</v>
      </c>
    </row>
    <row r="10" customFormat="false" ht="79.5" hidden="false" customHeight="true" outlineLevel="0" collapsed="false">
      <c r="A10" s="34" t="s">
        <v>182</v>
      </c>
      <c r="B10" s="36" t="s">
        <v>64</v>
      </c>
      <c r="C10" s="33" t="s">
        <v>75</v>
      </c>
      <c r="D10" s="34" t="s">
        <v>38</v>
      </c>
      <c r="E10" s="33" t="s">
        <v>183</v>
      </c>
      <c r="F10" s="23" t="s">
        <v>184</v>
      </c>
      <c r="G10" s="23" t="s">
        <v>185</v>
      </c>
      <c r="H10" s="23" t="s">
        <v>186</v>
      </c>
      <c r="I10" s="23" t="s">
        <v>77</v>
      </c>
      <c r="J10" s="35"/>
      <c r="K10" s="34"/>
      <c r="L10" s="23"/>
    </row>
    <row r="11" customFormat="false" ht="79.5" hidden="false" customHeight="true" outlineLevel="0" collapsed="false">
      <c r="A11" s="34" t="s">
        <v>187</v>
      </c>
      <c r="B11" s="36" t="s">
        <v>64</v>
      </c>
      <c r="C11" s="33" t="s">
        <v>75</v>
      </c>
      <c r="D11" s="34" t="s">
        <v>39</v>
      </c>
      <c r="E11" s="33" t="s">
        <v>188</v>
      </c>
      <c r="F11" s="23" t="s">
        <v>189</v>
      </c>
      <c r="G11" s="23" t="s">
        <v>190</v>
      </c>
      <c r="H11" s="23" t="s">
        <v>191</v>
      </c>
      <c r="I11" s="23" t="s">
        <v>77</v>
      </c>
      <c r="J11" s="35"/>
      <c r="K11" s="34"/>
      <c r="L11" s="18" t="s">
        <v>192</v>
      </c>
    </row>
    <row r="12" customFormat="false" ht="79.5" hidden="false" customHeight="true" outlineLevel="0" collapsed="false">
      <c r="A12" s="34" t="s">
        <v>193</v>
      </c>
      <c r="B12" s="36" t="s">
        <v>64</v>
      </c>
      <c r="C12" s="33" t="s">
        <v>75</v>
      </c>
      <c r="D12" s="34" t="s">
        <v>40</v>
      </c>
      <c r="E12" s="33" t="s">
        <v>194</v>
      </c>
      <c r="F12" s="23" t="s">
        <v>195</v>
      </c>
      <c r="G12" s="23" t="s">
        <v>196</v>
      </c>
      <c r="H12" s="23" t="s">
        <v>197</v>
      </c>
      <c r="I12" s="23" t="s">
        <v>77</v>
      </c>
      <c r="J12" s="35"/>
      <c r="K12" s="34"/>
      <c r="L12" s="23"/>
    </row>
    <row r="13" customFormat="false" ht="79.5" hidden="false" customHeight="true" outlineLevel="0" collapsed="false">
      <c r="A13" s="34" t="s">
        <v>198</v>
      </c>
      <c r="B13" s="36" t="s">
        <v>64</v>
      </c>
      <c r="C13" s="33" t="s">
        <v>75</v>
      </c>
      <c r="D13" s="34" t="s">
        <v>41</v>
      </c>
      <c r="E13" s="33" t="s">
        <v>199</v>
      </c>
      <c r="F13" s="23" t="s">
        <v>200</v>
      </c>
      <c r="G13" s="23" t="s">
        <v>201</v>
      </c>
      <c r="H13" s="23" t="s">
        <v>202</v>
      </c>
      <c r="I13" s="23" t="s">
        <v>77</v>
      </c>
      <c r="J13" s="35"/>
      <c r="K13" s="34"/>
      <c r="L13" s="23"/>
    </row>
    <row r="14" customFormat="false" ht="79.5" hidden="false" customHeight="true" outlineLevel="0" collapsed="false">
      <c r="A14" s="34" t="s">
        <v>203</v>
      </c>
      <c r="B14" s="36" t="s">
        <v>64</v>
      </c>
      <c r="C14" s="33" t="s">
        <v>75</v>
      </c>
      <c r="D14" s="34" t="s">
        <v>42</v>
      </c>
      <c r="E14" s="33" t="s">
        <v>204</v>
      </c>
      <c r="F14" s="23" t="s">
        <v>205</v>
      </c>
      <c r="G14" s="23" t="s">
        <v>206</v>
      </c>
      <c r="H14" s="23" t="s">
        <v>207</v>
      </c>
      <c r="I14" s="23" t="s">
        <v>77</v>
      </c>
      <c r="J14" s="35"/>
      <c r="K14" s="34"/>
      <c r="L14" s="18" t="s">
        <v>208</v>
      </c>
    </row>
    <row r="15" customFormat="false" ht="79.5" hidden="false" customHeight="true" outlineLevel="0" collapsed="false">
      <c r="A15" s="34" t="s">
        <v>209</v>
      </c>
      <c r="B15" s="36" t="s">
        <v>64</v>
      </c>
      <c r="C15" s="33" t="s">
        <v>75</v>
      </c>
      <c r="D15" s="34" t="s">
        <v>43</v>
      </c>
      <c r="E15" s="33" t="s">
        <v>210</v>
      </c>
      <c r="F15" s="23" t="s">
        <v>211</v>
      </c>
      <c r="G15" s="23" t="s">
        <v>212</v>
      </c>
      <c r="H15" s="23" t="s">
        <v>213</v>
      </c>
      <c r="I15" s="23" t="s">
        <v>77</v>
      </c>
      <c r="J15" s="35"/>
      <c r="K15" s="34"/>
      <c r="L15" s="18" t="s">
        <v>214</v>
      </c>
    </row>
    <row r="16" customFormat="false" ht="79.5" hidden="false" customHeight="true" outlineLevel="0" collapsed="false">
      <c r="A16" s="34" t="s">
        <v>215</v>
      </c>
      <c r="B16" s="36" t="s">
        <v>64</v>
      </c>
      <c r="C16" s="33" t="s">
        <v>75</v>
      </c>
      <c r="D16" s="34" t="s">
        <v>44</v>
      </c>
      <c r="E16" s="33" t="s">
        <v>216</v>
      </c>
      <c r="F16" s="23" t="s">
        <v>217</v>
      </c>
      <c r="G16" s="23" t="s">
        <v>218</v>
      </c>
      <c r="H16" s="23" t="s">
        <v>219</v>
      </c>
      <c r="I16" s="23" t="s">
        <v>77</v>
      </c>
      <c r="J16" s="35"/>
      <c r="K16" s="34"/>
      <c r="L16" s="23"/>
    </row>
    <row r="17" customFormat="false" ht="79.5" hidden="false" customHeight="true" outlineLevel="0" collapsed="false">
      <c r="A17" s="34" t="s">
        <v>220</v>
      </c>
      <c r="B17" s="36" t="s">
        <v>64</v>
      </c>
      <c r="C17" s="33" t="s">
        <v>75</v>
      </c>
      <c r="D17" s="34" t="s">
        <v>45</v>
      </c>
      <c r="E17" s="33" t="s">
        <v>221</v>
      </c>
      <c r="F17" s="23" t="s">
        <v>222</v>
      </c>
      <c r="G17" s="23" t="s">
        <v>223</v>
      </c>
      <c r="H17" s="23" t="s">
        <v>224</v>
      </c>
      <c r="I17" s="23" t="s">
        <v>77</v>
      </c>
      <c r="J17" s="35"/>
      <c r="K17" s="34"/>
      <c r="L17" s="18" t="s">
        <v>225</v>
      </c>
    </row>
    <row r="18" customFormat="false" ht="79.5" hidden="false" customHeight="true" outlineLevel="0" collapsed="false">
      <c r="A18" s="34" t="s">
        <v>226</v>
      </c>
      <c r="B18" s="36" t="s">
        <v>64</v>
      </c>
      <c r="C18" s="33" t="s">
        <v>75</v>
      </c>
      <c r="D18" s="34" t="s">
        <v>46</v>
      </c>
      <c r="E18" s="33" t="s">
        <v>227</v>
      </c>
      <c r="F18" s="23" t="s">
        <v>228</v>
      </c>
      <c r="G18" s="23" t="s">
        <v>229</v>
      </c>
      <c r="H18" s="23" t="s">
        <v>230</v>
      </c>
      <c r="I18" s="23" t="s">
        <v>77</v>
      </c>
      <c r="J18" s="35"/>
      <c r="K18" s="34"/>
      <c r="L18" s="18" t="s">
        <v>231</v>
      </c>
    </row>
    <row r="19" customFormat="false" ht="72" hidden="false" customHeight="true" outlineLevel="0" collapsed="false">
      <c r="A19" s="19" t="n">
        <v>6</v>
      </c>
      <c r="B19" s="42" t="s">
        <v>79</v>
      </c>
      <c r="C19" s="33" t="s">
        <v>80</v>
      </c>
      <c r="D19" s="34" t="s">
        <v>81</v>
      </c>
      <c r="E19" s="23" t="s">
        <v>164</v>
      </c>
      <c r="F19" s="23" t="s">
        <v>232</v>
      </c>
      <c r="G19" s="23" t="s">
        <v>233</v>
      </c>
      <c r="H19" s="23" t="s">
        <v>234</v>
      </c>
      <c r="I19" s="23" t="s">
        <v>82</v>
      </c>
      <c r="J19" s="35"/>
      <c r="K19" s="34"/>
      <c r="L19" s="18" t="s">
        <v>84</v>
      </c>
    </row>
    <row r="20" customFormat="false" ht="72" hidden="false" customHeight="true" outlineLevel="0" collapsed="false">
      <c r="A20" s="19" t="n">
        <v>7</v>
      </c>
      <c r="B20" s="42" t="s">
        <v>79</v>
      </c>
      <c r="C20" s="33" t="s">
        <v>85</v>
      </c>
      <c r="D20" s="34" t="s">
        <v>86</v>
      </c>
      <c r="E20" s="23" t="s">
        <v>164</v>
      </c>
      <c r="F20" s="23" t="s">
        <v>235</v>
      </c>
      <c r="G20" s="23" t="s">
        <v>236</v>
      </c>
      <c r="H20" s="23" t="s">
        <v>88</v>
      </c>
      <c r="I20" s="23" t="s">
        <v>87</v>
      </c>
      <c r="J20" s="35"/>
      <c r="K20" s="34"/>
      <c r="L20" s="18" t="s">
        <v>89</v>
      </c>
    </row>
    <row r="21" customFormat="false" ht="72" hidden="false" customHeight="true" outlineLevel="0" collapsed="false">
      <c r="A21" s="19" t="n">
        <v>8</v>
      </c>
      <c r="B21" s="43" t="s">
        <v>90</v>
      </c>
      <c r="C21" s="33" t="s">
        <v>91</v>
      </c>
      <c r="D21" s="34" t="s">
        <v>76</v>
      </c>
      <c r="E21" s="23" t="s">
        <v>164</v>
      </c>
      <c r="F21" s="23" t="s">
        <v>237</v>
      </c>
      <c r="G21" s="23" t="s">
        <v>238</v>
      </c>
      <c r="H21" s="23" t="s">
        <v>239</v>
      </c>
      <c r="I21" s="23" t="s">
        <v>92</v>
      </c>
      <c r="J21" s="35"/>
      <c r="K21" s="34"/>
      <c r="L21" s="23"/>
    </row>
    <row r="22" customFormat="false" ht="72" hidden="false" customHeight="true" outlineLevel="0" collapsed="false">
      <c r="A22" s="19" t="n">
        <v>9</v>
      </c>
      <c r="B22" s="43" t="s">
        <v>90</v>
      </c>
      <c r="C22" s="33" t="s">
        <v>94</v>
      </c>
      <c r="D22" s="34" t="s">
        <v>95</v>
      </c>
      <c r="E22" s="23" t="s">
        <v>164</v>
      </c>
      <c r="F22" s="23" t="s">
        <v>240</v>
      </c>
      <c r="G22" s="23" t="s">
        <v>241</v>
      </c>
      <c r="H22" s="23" t="s">
        <v>242</v>
      </c>
      <c r="I22" s="23" t="s">
        <v>96</v>
      </c>
      <c r="J22" s="35"/>
      <c r="K22" s="34"/>
      <c r="L22" s="18" t="s">
        <v>98</v>
      </c>
    </row>
    <row r="23" customFormat="false" ht="72" hidden="false" customHeight="true" outlineLevel="0" collapsed="false">
      <c r="A23" s="19" t="n">
        <v>10</v>
      </c>
      <c r="B23" s="43" t="s">
        <v>90</v>
      </c>
      <c r="C23" s="33" t="s">
        <v>99</v>
      </c>
      <c r="D23" s="34" t="s">
        <v>76</v>
      </c>
      <c r="E23" s="23" t="s">
        <v>164</v>
      </c>
      <c r="F23" s="23" t="s">
        <v>243</v>
      </c>
      <c r="G23" s="23" t="s">
        <v>244</v>
      </c>
      <c r="H23" s="23" t="s">
        <v>239</v>
      </c>
      <c r="I23" s="23" t="s">
        <v>92</v>
      </c>
      <c r="J23" s="35"/>
      <c r="K23" s="34"/>
      <c r="L23" s="23"/>
    </row>
    <row r="24" customFormat="false" ht="55.5" hidden="false" customHeight="true" outlineLevel="0" collapsed="false">
      <c r="A24" s="19" t="n">
        <v>11</v>
      </c>
      <c r="B24" s="43" t="s">
        <v>90</v>
      </c>
      <c r="C24" s="33" t="s">
        <v>101</v>
      </c>
      <c r="D24" s="34" t="s">
        <v>102</v>
      </c>
      <c r="E24" s="23" t="s">
        <v>164</v>
      </c>
      <c r="F24" s="23" t="s">
        <v>245</v>
      </c>
      <c r="G24" s="23" t="s">
        <v>246</v>
      </c>
      <c r="H24" s="23" t="s">
        <v>247</v>
      </c>
      <c r="I24" s="23" t="s">
        <v>103</v>
      </c>
      <c r="J24" s="35"/>
      <c r="K24" s="34"/>
      <c r="L24" s="18" t="s">
        <v>105</v>
      </c>
    </row>
    <row r="25" customFormat="false" ht="55.5" hidden="false" customHeight="true" outlineLevel="0" collapsed="false">
      <c r="A25" s="19" t="n">
        <v>12</v>
      </c>
      <c r="B25" s="43" t="s">
        <v>90</v>
      </c>
      <c r="C25" s="33" t="s">
        <v>106</v>
      </c>
      <c r="D25" s="34" t="s">
        <v>76</v>
      </c>
      <c r="E25" s="23" t="s">
        <v>164</v>
      </c>
      <c r="F25" s="23" t="s">
        <v>248</v>
      </c>
      <c r="G25" s="23" t="s">
        <v>249</v>
      </c>
      <c r="H25" s="23" t="s">
        <v>107</v>
      </c>
      <c r="I25" s="23" t="s">
        <v>77</v>
      </c>
      <c r="J25" s="35"/>
      <c r="K25" s="34"/>
      <c r="L25" s="18" t="s">
        <v>108</v>
      </c>
    </row>
    <row r="26" customFormat="false" ht="55.5" hidden="false" customHeight="true" outlineLevel="0" collapsed="false">
      <c r="A26" s="19" t="n">
        <v>13</v>
      </c>
      <c r="B26" s="43" t="s">
        <v>90</v>
      </c>
      <c r="C26" s="33" t="s">
        <v>109</v>
      </c>
      <c r="D26" s="34" t="s">
        <v>110</v>
      </c>
      <c r="E26" s="23" t="s">
        <v>164</v>
      </c>
      <c r="F26" s="23" t="s">
        <v>250</v>
      </c>
      <c r="G26" s="23" t="s">
        <v>251</v>
      </c>
      <c r="H26" s="23" t="s">
        <v>107</v>
      </c>
      <c r="I26" s="23" t="s">
        <v>72</v>
      </c>
      <c r="J26" s="35"/>
      <c r="K26" s="34"/>
      <c r="L26" s="18" t="s">
        <v>108</v>
      </c>
    </row>
    <row r="27" customFormat="false" ht="72" hidden="false" customHeight="true" outlineLevel="0" collapsed="false">
      <c r="A27" s="19" t="n">
        <v>14</v>
      </c>
      <c r="B27" s="43" t="s">
        <v>90</v>
      </c>
      <c r="C27" s="33" t="s">
        <v>111</v>
      </c>
      <c r="D27" s="34" t="s">
        <v>76</v>
      </c>
      <c r="E27" s="23" t="s">
        <v>164</v>
      </c>
      <c r="F27" s="23" t="s">
        <v>252</v>
      </c>
      <c r="G27" s="23" t="s">
        <v>253</v>
      </c>
      <c r="H27" s="23" t="s">
        <v>254</v>
      </c>
      <c r="I27" s="23" t="s">
        <v>112</v>
      </c>
      <c r="J27" s="35"/>
      <c r="K27" s="34"/>
      <c r="L27" s="23"/>
    </row>
    <row r="28" customFormat="false" ht="55.5" hidden="false" customHeight="true" outlineLevel="0" collapsed="false">
      <c r="A28" s="19" t="n">
        <v>15</v>
      </c>
      <c r="B28" s="43" t="s">
        <v>90</v>
      </c>
      <c r="C28" s="33" t="s">
        <v>114</v>
      </c>
      <c r="D28" s="34" t="s">
        <v>76</v>
      </c>
      <c r="E28" s="23" t="s">
        <v>164</v>
      </c>
      <c r="F28" s="23" t="s">
        <v>255</v>
      </c>
      <c r="G28" s="23" t="s">
        <v>256</v>
      </c>
      <c r="H28" s="23" t="s">
        <v>116</v>
      </c>
      <c r="I28" s="23" t="s">
        <v>115</v>
      </c>
      <c r="J28" s="35"/>
      <c r="K28" s="34"/>
      <c r="L28" s="23"/>
    </row>
    <row r="29" customFormat="false" ht="55.5" hidden="false" customHeight="true" outlineLevel="0" collapsed="false">
      <c r="A29" s="19" t="n">
        <v>16</v>
      </c>
      <c r="B29" s="43" t="s">
        <v>90</v>
      </c>
      <c r="C29" s="33" t="s">
        <v>117</v>
      </c>
      <c r="D29" s="34" t="s">
        <v>118</v>
      </c>
      <c r="E29" s="23" t="s">
        <v>164</v>
      </c>
      <c r="F29" s="23" t="s">
        <v>257</v>
      </c>
      <c r="G29" s="23" t="s">
        <v>258</v>
      </c>
      <c r="H29" s="23" t="s">
        <v>120</v>
      </c>
      <c r="I29" s="23" t="s">
        <v>119</v>
      </c>
      <c r="J29" s="35"/>
      <c r="K29" s="34"/>
      <c r="L29" s="18" t="s">
        <v>121</v>
      </c>
    </row>
    <row r="30" customFormat="false" ht="55.5" hidden="false" customHeight="true" outlineLevel="0" collapsed="false">
      <c r="A30" s="19" t="n">
        <v>17</v>
      </c>
      <c r="B30" s="44" t="s">
        <v>122</v>
      </c>
      <c r="C30" s="33" t="s">
        <v>123</v>
      </c>
      <c r="D30" s="34" t="s">
        <v>124</v>
      </c>
      <c r="E30" s="23" t="s">
        <v>164</v>
      </c>
      <c r="F30" s="23" t="s">
        <v>259</v>
      </c>
      <c r="G30" s="23" t="s">
        <v>260</v>
      </c>
      <c r="H30" s="23" t="s">
        <v>261</v>
      </c>
      <c r="I30" s="23" t="s">
        <v>125</v>
      </c>
      <c r="J30" s="35"/>
      <c r="K30" s="34"/>
      <c r="L30" s="23"/>
    </row>
    <row r="31" customFormat="false" ht="55.5" hidden="false" customHeight="true" outlineLevel="0" collapsed="false">
      <c r="A31" s="19" t="n">
        <v>18</v>
      </c>
      <c r="B31" s="44" t="s">
        <v>122</v>
      </c>
      <c r="C31" s="33" t="s">
        <v>127</v>
      </c>
      <c r="D31" s="34" t="s">
        <v>118</v>
      </c>
      <c r="E31" s="23" t="s">
        <v>164</v>
      </c>
      <c r="F31" s="23" t="s">
        <v>262</v>
      </c>
      <c r="G31" s="23" t="s">
        <v>263</v>
      </c>
      <c r="H31" s="23" t="s">
        <v>128</v>
      </c>
      <c r="I31" s="23" t="s">
        <v>72</v>
      </c>
      <c r="J31" s="35"/>
      <c r="K31" s="34"/>
      <c r="L31" s="23"/>
    </row>
    <row r="32" customFormat="false" ht="55.5" hidden="false" customHeight="true" outlineLevel="0" collapsed="false">
      <c r="A32" s="19" t="n">
        <v>19</v>
      </c>
      <c r="B32" s="44" t="s">
        <v>122</v>
      </c>
      <c r="C32" s="33" t="s">
        <v>129</v>
      </c>
      <c r="D32" s="34" t="s">
        <v>66</v>
      </c>
      <c r="E32" s="23" t="s">
        <v>164</v>
      </c>
      <c r="F32" s="23" t="s">
        <v>264</v>
      </c>
      <c r="G32" s="23" t="s">
        <v>265</v>
      </c>
      <c r="H32" s="23" t="s">
        <v>131</v>
      </c>
      <c r="I32" s="23" t="s">
        <v>130</v>
      </c>
      <c r="J32" s="35"/>
      <c r="K32" s="34"/>
      <c r="L32" s="18" t="s">
        <v>132</v>
      </c>
    </row>
    <row r="33" customFormat="false" ht="55.5" hidden="false" customHeight="true" outlineLevel="0" collapsed="false">
      <c r="A33" s="19" t="n">
        <v>20</v>
      </c>
      <c r="B33" s="45" t="s">
        <v>133</v>
      </c>
      <c r="C33" s="33" t="s">
        <v>134</v>
      </c>
      <c r="D33" s="34" t="s">
        <v>66</v>
      </c>
      <c r="E33" s="23" t="s">
        <v>164</v>
      </c>
      <c r="F33" s="23" t="s">
        <v>266</v>
      </c>
      <c r="G33" s="23" t="s">
        <v>267</v>
      </c>
      <c r="H33" s="23" t="s">
        <v>136</v>
      </c>
      <c r="I33" s="23" t="s">
        <v>135</v>
      </c>
      <c r="J33" s="35"/>
      <c r="K33" s="34"/>
      <c r="L33" s="18" t="s">
        <v>137</v>
      </c>
    </row>
    <row r="34" customFormat="false" ht="55.5" hidden="false" customHeight="true" outlineLevel="0" collapsed="false">
      <c r="A34" s="19" t="n">
        <v>21</v>
      </c>
      <c r="B34" s="45" t="s">
        <v>133</v>
      </c>
      <c r="C34" s="33" t="s">
        <v>138</v>
      </c>
      <c r="D34" s="34" t="s">
        <v>118</v>
      </c>
      <c r="E34" s="23" t="s">
        <v>164</v>
      </c>
      <c r="F34" s="23" t="s">
        <v>268</v>
      </c>
      <c r="G34" s="23" t="s">
        <v>269</v>
      </c>
      <c r="H34" s="23" t="s">
        <v>270</v>
      </c>
      <c r="I34" s="23" t="s">
        <v>139</v>
      </c>
      <c r="J34" s="35"/>
      <c r="K34" s="34"/>
      <c r="L34" s="18" t="s">
        <v>141</v>
      </c>
    </row>
    <row r="35" customFormat="false" ht="55.5" hidden="false" customHeight="true" outlineLevel="0" collapsed="false">
      <c r="A35" s="19" t="n">
        <v>22</v>
      </c>
      <c r="B35" s="46" t="s">
        <v>142</v>
      </c>
      <c r="C35" s="33" t="s">
        <v>143</v>
      </c>
      <c r="D35" s="34" t="s">
        <v>66</v>
      </c>
      <c r="E35" s="23" t="s">
        <v>164</v>
      </c>
      <c r="F35" s="23" t="s">
        <v>271</v>
      </c>
      <c r="G35" s="23" t="s">
        <v>272</v>
      </c>
      <c r="H35" s="23" t="s">
        <v>145</v>
      </c>
      <c r="I35" s="23" t="s">
        <v>144</v>
      </c>
      <c r="J35" s="35"/>
      <c r="K35" s="34"/>
      <c r="L35" s="23"/>
    </row>
    <row r="36" customFormat="false" ht="55.5" hidden="false" customHeight="true" outlineLevel="0" collapsed="false">
      <c r="A36" s="19" t="n">
        <v>23</v>
      </c>
      <c r="B36" s="46" t="s">
        <v>142</v>
      </c>
      <c r="C36" s="33" t="s">
        <v>146</v>
      </c>
      <c r="D36" s="34" t="s">
        <v>66</v>
      </c>
      <c r="E36" s="23" t="s">
        <v>164</v>
      </c>
      <c r="F36" s="23" t="s">
        <v>273</v>
      </c>
      <c r="G36" s="23" t="s">
        <v>274</v>
      </c>
      <c r="H36" s="23" t="s">
        <v>148</v>
      </c>
      <c r="I36" s="23" t="s">
        <v>147</v>
      </c>
      <c r="J36" s="35"/>
      <c r="K36" s="34"/>
      <c r="L36" s="18" t="s">
        <v>149</v>
      </c>
    </row>
    <row r="38" customFormat="false" ht="15" hidden="false" customHeight="false" outlineLevel="0" collapsed="false">
      <c r="C38" s="47" t="s">
        <v>275</v>
      </c>
    </row>
    <row r="39" customFormat="false" ht="15" hidden="false" customHeight="false" outlineLevel="0" collapsed="false">
      <c r="C39" s="48" t="s">
        <v>276</v>
      </c>
      <c r="D39" s="49" t="n">
        <f aca="false">COUNT(J9:J18)</f>
        <v>0</v>
      </c>
    </row>
    <row r="40" customFormat="false" ht="15" hidden="false" customHeight="false" outlineLevel="0" collapsed="false">
      <c r="C40" s="48" t="s">
        <v>277</v>
      </c>
      <c r="D40" s="49" t="n">
        <f aca="false">SUM(K9:K18)</f>
        <v>0</v>
      </c>
    </row>
    <row r="41" customFormat="false" ht="15" hidden="false" customHeight="false" outlineLevel="0" collapsed="false">
      <c r="C41" s="48" t="s">
        <v>278</v>
      </c>
      <c r="D41" s="50" t="str">
        <f aca="false">IF(COUNT(K9:K18)=0,"-",AVERAGE(K9:K18))</f>
        <v>-</v>
      </c>
    </row>
    <row r="44" customFormat="false" ht="15" hidden="false" customHeight="false" outlineLevel="0" collapsed="false">
      <c r="A44" s="51" t="s">
        <v>279</v>
      </c>
    </row>
    <row r="45" customFormat="false" ht="15" hidden="false" customHeight="false" outlineLevel="0" collapsed="false">
      <c r="A45" s="11" t="s">
        <v>28</v>
      </c>
      <c r="C45" s="11" t="s">
        <v>157</v>
      </c>
      <c r="F45" s="11" t="s">
        <v>280</v>
      </c>
      <c r="H45" s="11" t="s">
        <v>163</v>
      </c>
    </row>
    <row r="46" customFormat="false" ht="27.75" hidden="false" customHeight="true" outlineLevel="0" collapsed="false">
      <c r="A46" s="12" t="s">
        <v>281</v>
      </c>
      <c r="C46" s="14" t="s">
        <v>282</v>
      </c>
      <c r="D46" s="14"/>
      <c r="E46" s="14"/>
      <c r="F46" s="15" t="s">
        <v>283</v>
      </c>
      <c r="G46" s="15"/>
      <c r="H46" s="15" t="s">
        <v>284</v>
      </c>
    </row>
    <row r="47" customFormat="false" ht="27.75" hidden="false" customHeight="true" outlineLevel="0" collapsed="false">
      <c r="A47" s="12" t="s">
        <v>285</v>
      </c>
      <c r="C47" s="14" t="s">
        <v>286</v>
      </c>
      <c r="D47" s="14"/>
      <c r="E47" s="14"/>
      <c r="F47" s="15" t="s">
        <v>287</v>
      </c>
      <c r="G47" s="15"/>
      <c r="H47" s="15"/>
    </row>
    <row r="48" customFormat="false" ht="27.75" hidden="false" customHeight="true" outlineLevel="0" collapsed="false">
      <c r="A48" s="12" t="s">
        <v>288</v>
      </c>
      <c r="C48" s="14" t="s">
        <v>289</v>
      </c>
      <c r="D48" s="14"/>
      <c r="E48" s="14"/>
      <c r="F48" s="15" t="s">
        <v>290</v>
      </c>
      <c r="G48" s="15"/>
      <c r="H48" s="15"/>
    </row>
    <row r="49" customFormat="false" ht="27.75" hidden="false" customHeight="true" outlineLevel="0" collapsed="false">
      <c r="A49" s="12" t="s">
        <v>291</v>
      </c>
      <c r="C49" s="14" t="s">
        <v>292</v>
      </c>
      <c r="D49" s="14"/>
      <c r="E49" s="14"/>
      <c r="F49" s="15" t="s">
        <v>293</v>
      </c>
      <c r="G49" s="15"/>
      <c r="H49" s="15"/>
    </row>
    <row r="50" customFormat="false" ht="27.75" hidden="false" customHeight="true" outlineLevel="0" collapsed="false">
      <c r="A50" s="12" t="s">
        <v>294</v>
      </c>
      <c r="C50" s="14" t="s">
        <v>295</v>
      </c>
      <c r="D50" s="14"/>
      <c r="E50" s="14"/>
      <c r="F50" s="15" t="s">
        <v>296</v>
      </c>
      <c r="G50" s="15"/>
      <c r="H50" s="15"/>
    </row>
    <row r="51" customFormat="false" ht="27.75" hidden="false" customHeight="true" outlineLevel="0" collapsed="false">
      <c r="A51" s="12" t="s">
        <v>297</v>
      </c>
      <c r="C51" s="14" t="s">
        <v>298</v>
      </c>
      <c r="D51" s="14"/>
      <c r="E51" s="14"/>
      <c r="F51" s="15" t="s">
        <v>299</v>
      </c>
      <c r="G51" s="15"/>
      <c r="H51" s="15" t="s">
        <v>300</v>
      </c>
    </row>
    <row r="52" customFormat="false" ht="27.75" hidden="false" customHeight="true" outlineLevel="0" collapsed="false">
      <c r="A52" s="12" t="s">
        <v>301</v>
      </c>
      <c r="C52" s="14" t="s">
        <v>302</v>
      </c>
      <c r="D52" s="14"/>
      <c r="E52" s="14"/>
      <c r="F52" s="15" t="s">
        <v>303</v>
      </c>
      <c r="G52" s="15"/>
      <c r="H52" s="15"/>
    </row>
    <row r="53" customFormat="false" ht="27.75" hidden="false" customHeight="true" outlineLevel="0" collapsed="false">
      <c r="A53" s="12" t="s">
        <v>304</v>
      </c>
      <c r="C53" s="14" t="s">
        <v>305</v>
      </c>
      <c r="D53" s="14"/>
      <c r="E53" s="14"/>
      <c r="F53" s="15" t="s">
        <v>306</v>
      </c>
      <c r="G53" s="15"/>
      <c r="H53" s="15"/>
    </row>
  </sheetData>
  <autoFilter ref="A4:L36"/>
  <mergeCells count="16">
    <mergeCell ref="C46:E46"/>
    <mergeCell ref="F46:G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C53:E53"/>
    <mergeCell ref="F53:G53"/>
  </mergeCells>
  <dataValidations count="2">
    <dataValidation allowBlank="true" error="Informe um número inteiro." errorStyle="stop" operator="greaterThanOrEqual" showDropDown="false" showErrorMessage="false" showInputMessage="false" sqref="K5:K36" type="whole">
      <formula1>0</formula1>
      <formula2>0</formula2>
    </dataValidation>
    <dataValidation allowBlank="true" error="Informe uma data válida." errorStyle="stop" operator="greaterThan" showDropDown="false" showErrorMessage="false" showInputMessage="false" sqref="J5:J36" type="date">
      <formula1>DATE(2026,8,1)</formula1>
      <formula2>0</formula2>
    </dataValidation>
  </dataValidations>
  <hyperlinks>
    <hyperlink ref="A5" r:id="rId1" location="'Cronograma'!C5" display="file:///mnt/user-data/outputs/Cronograma_Geral_Brigada_2026-2027.xlsx#'Cronograma'!C5"/>
    <hyperlink ref="A6" r:id="rId2" location="'Cronograma'!C6" display="file:///mnt/user-data/outputs/Cronograma_Geral_Brigada_2026-2027.xlsx#'Cronograma'!C6"/>
    <hyperlink ref="A7" r:id="rId3" location="'Cronograma'!C7" display="file:///mnt/user-data/outputs/Cronograma_Geral_Brigada_2026-2027.xlsx#'Cronograma'!C7"/>
    <hyperlink ref="A8" r:id="rId4" location="'Cronograma'!C8" display="file:///mnt/user-data/outputs/Cronograma_Geral_Brigada_2026-2027.xlsx#'Cronograma'!C8"/>
    <hyperlink ref="A9" r:id="rId5" location="'Cronograma'!C9" display="5.1"/>
    <hyperlink ref="A19" r:id="rId6" location="'Cronograma'!C10" display="file:///mnt/user-data/outputs/Cronograma_Geral_Brigada_2026-2027.xlsx#'Cronograma'!C10"/>
    <hyperlink ref="A20" r:id="rId7" location="'Cronograma'!C11" display="file:///mnt/user-data/outputs/Cronograma_Geral_Brigada_2026-2027.xlsx#'Cronograma'!C11"/>
    <hyperlink ref="A21" r:id="rId8" location="'Cronograma'!C12" display="file:///mnt/user-data/outputs/Cronograma_Geral_Brigada_2026-2027.xlsx#'Cronograma'!C12"/>
    <hyperlink ref="A22" r:id="rId9" location="'Cronograma'!C13" display="file:///mnt/user-data/outputs/Cronograma_Geral_Brigada_2026-2027.xlsx#'Cronograma'!C13"/>
    <hyperlink ref="A23" r:id="rId10" location="'Cronograma'!C14" display="file:///mnt/user-data/outputs/Cronograma_Geral_Brigada_2026-2027.xlsx#'Cronograma'!C14"/>
    <hyperlink ref="A24" r:id="rId11" location="'Cronograma'!C15" display="file:///mnt/user-data/outputs/Cronograma_Geral_Brigada_2026-2027.xlsx#'Cronograma'!C15"/>
    <hyperlink ref="A25" r:id="rId12" location="'Cronograma'!C16" display="file:///mnt/user-data/outputs/Cronograma_Geral_Brigada_2026-2027.xlsx#'Cronograma'!C16"/>
    <hyperlink ref="A26" r:id="rId13" location="'Cronograma'!C17" display="file:///mnt/user-data/outputs/Cronograma_Geral_Brigada_2026-2027.xlsx#'Cronograma'!C17"/>
    <hyperlink ref="A27" r:id="rId14" location="'Cronograma'!C18" display="file:///mnt/user-data/outputs/Cronograma_Geral_Brigada_2026-2027.xlsx#'Cronograma'!C18"/>
    <hyperlink ref="A28" r:id="rId15" location="'Cronograma'!C19" display="file:///mnt/user-data/outputs/Cronograma_Geral_Brigada_2026-2027.xlsx#'Cronograma'!C19"/>
    <hyperlink ref="A29" r:id="rId16" location="'Cronograma'!C20" display="file:///mnt/user-data/outputs/Cronograma_Geral_Brigada_2026-2027.xlsx#'Cronograma'!C20"/>
    <hyperlink ref="A30" r:id="rId17" location="'Cronograma'!C21" display="file:///mnt/user-data/outputs/Cronograma_Geral_Brigada_2026-2027.xlsx#'Cronograma'!C21"/>
    <hyperlink ref="A31" r:id="rId18" location="'Cronograma'!C22" display="file:///mnt/user-data/outputs/Cronograma_Geral_Brigada_2026-2027.xlsx#'Cronograma'!C22"/>
    <hyperlink ref="A32" r:id="rId19" location="'Cronograma'!C23" display="file:///mnt/user-data/outputs/Cronograma_Geral_Brigada_2026-2027.xlsx#'Cronograma'!C23"/>
    <hyperlink ref="A33" r:id="rId20" location="'Cronograma'!C24" display="file:///mnt/user-data/outputs/Cronograma_Geral_Brigada_2026-2027.xlsx#'Cronograma'!C24"/>
    <hyperlink ref="A34" r:id="rId21" location="'Cronograma'!C25" display="file:///mnt/user-data/outputs/Cronograma_Geral_Brigada_2026-2027.xlsx#'Cronograma'!C25"/>
    <hyperlink ref="A35" r:id="rId22" location="'Cronograma'!C26" display="file:///mnt/user-data/outputs/Cronograma_Geral_Brigada_2026-2027.xlsx#'Cronograma'!C26"/>
    <hyperlink ref="A36" r:id="rId23" location="'Cronograma'!C27" display="file:///mnt/user-data/outputs/Cronograma_Geral_Brigada_2026-2027.xlsx#'Cronograma'!C2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9" t="s">
        <v>307</v>
      </c>
    </row>
    <row r="3" customFormat="false" ht="15" hidden="false" customHeight="false" outlineLevel="0" collapsed="false">
      <c r="A3" s="52" t="s">
        <v>29</v>
      </c>
      <c r="B3" s="52" t="s">
        <v>308</v>
      </c>
      <c r="C3" s="52" t="s">
        <v>47</v>
      </c>
      <c r="D3" s="52" t="s">
        <v>48</v>
      </c>
      <c r="E3" s="52" t="s">
        <v>49</v>
      </c>
    </row>
    <row r="4" customFormat="false" ht="15" hidden="false" customHeight="false" outlineLevel="0" collapsed="false">
      <c r="A4" s="53" t="s">
        <v>52</v>
      </c>
      <c r="B4" s="54" t="n">
        <f aca="false">COUNTIF(Cronograma!$B$5:$B$27,A4)</f>
        <v>2</v>
      </c>
      <c r="C4" s="54" t="n">
        <f aca="false">SUMIF(Cronograma!$B$5:$B$27,A4,Cronograma!$T$5:$T$27)</f>
        <v>23</v>
      </c>
      <c r="D4" s="54" t="n">
        <f aca="false">SUMIF(Cronograma!$B$5:$B$27,A4,Cronograma!$U$5:$U$27)</f>
        <v>2</v>
      </c>
      <c r="E4" s="55" t="n">
        <f aca="false">IF(C4=0,"-",D4/C4)</f>
        <v>0.0869565217391304</v>
      </c>
    </row>
    <row r="5" customFormat="false" ht="15" hidden="false" customHeight="false" outlineLevel="0" collapsed="false">
      <c r="A5" s="56" t="s">
        <v>64</v>
      </c>
      <c r="B5" s="54" t="n">
        <f aca="false">COUNTIF(Cronograma!$B$5:$B$27,A5)</f>
        <v>3</v>
      </c>
      <c r="C5" s="54" t="n">
        <f aca="false">SUMIF(Cronograma!$B$5:$B$27,A5,Cronograma!$T$5:$T$27)</f>
        <v>12</v>
      </c>
      <c r="D5" s="54" t="n">
        <f aca="false">SUMIF(Cronograma!$B$5:$B$27,A5,Cronograma!$U$5:$U$27)</f>
        <v>1</v>
      </c>
      <c r="E5" s="55" t="n">
        <f aca="false">IF(C5=0,"-",D5/C5)</f>
        <v>0.0833333333333333</v>
      </c>
    </row>
    <row r="6" customFormat="false" ht="15" hidden="false" customHeight="false" outlineLevel="0" collapsed="false">
      <c r="A6" s="57" t="s">
        <v>79</v>
      </c>
      <c r="B6" s="54" t="n">
        <f aca="false">COUNTIF(Cronograma!$B$5:$B$27,A6)</f>
        <v>2</v>
      </c>
      <c r="C6" s="54" t="n">
        <f aca="false">SUMIF(Cronograma!$B$5:$B$27,A6,Cronograma!$T$5:$T$27)</f>
        <v>3</v>
      </c>
      <c r="D6" s="54" t="n">
        <f aca="false">SUMIF(Cronograma!$B$5:$B$27,A6,Cronograma!$U$5:$U$27)</f>
        <v>0</v>
      </c>
      <c r="E6" s="55" t="n">
        <f aca="false">IF(C6=0,"-",D6/C6)</f>
        <v>0</v>
      </c>
    </row>
    <row r="7" customFormat="false" ht="15" hidden="false" customHeight="false" outlineLevel="0" collapsed="false">
      <c r="A7" s="58" t="s">
        <v>90</v>
      </c>
      <c r="B7" s="54" t="n">
        <f aca="false">COUNTIF(Cronograma!$B$5:$B$27,A7)</f>
        <v>9</v>
      </c>
      <c r="C7" s="54" t="n">
        <f aca="false">SUMIF(Cronograma!$B$5:$B$27,A7,Cronograma!$T$5:$T$27)</f>
        <v>66</v>
      </c>
      <c r="D7" s="54" t="n">
        <f aca="false">SUMIF(Cronograma!$B$5:$B$27,A7,Cronograma!$U$5:$U$27)</f>
        <v>0</v>
      </c>
      <c r="E7" s="55" t="n">
        <f aca="false">IF(C7=0,"-",D7/C7)</f>
        <v>0</v>
      </c>
    </row>
    <row r="8" customFormat="false" ht="15" hidden="false" customHeight="false" outlineLevel="0" collapsed="false">
      <c r="A8" s="59" t="s">
        <v>122</v>
      </c>
      <c r="B8" s="54" t="n">
        <f aca="false">COUNTIF(Cronograma!$B$5:$B$27,A8)</f>
        <v>3</v>
      </c>
      <c r="C8" s="54" t="n">
        <f aca="false">SUMIF(Cronograma!$B$5:$B$27,A8,Cronograma!$T$5:$T$27)</f>
        <v>15</v>
      </c>
      <c r="D8" s="54" t="n">
        <f aca="false">SUMIF(Cronograma!$B$5:$B$27,A8,Cronograma!$U$5:$U$27)</f>
        <v>0</v>
      </c>
      <c r="E8" s="55" t="n">
        <f aca="false">IF(C8=0,"-",D8/C8)</f>
        <v>0</v>
      </c>
    </row>
    <row r="9" customFormat="false" ht="15" hidden="false" customHeight="false" outlineLevel="0" collapsed="false">
      <c r="A9" s="60" t="s">
        <v>133</v>
      </c>
      <c r="B9" s="54" t="n">
        <f aca="false">COUNTIF(Cronograma!$B$5:$B$27,A9)</f>
        <v>2</v>
      </c>
      <c r="C9" s="54" t="n">
        <f aca="false">SUMIF(Cronograma!$B$5:$B$27,A9,Cronograma!$T$5:$T$27)</f>
        <v>5</v>
      </c>
      <c r="D9" s="54" t="n">
        <f aca="false">SUMIF(Cronograma!$B$5:$B$27,A9,Cronograma!$U$5:$U$27)</f>
        <v>0</v>
      </c>
      <c r="E9" s="55" t="n">
        <f aca="false">IF(C9=0,"-",D9/C9)</f>
        <v>0</v>
      </c>
    </row>
    <row r="10" customFormat="false" ht="15" hidden="false" customHeight="false" outlineLevel="0" collapsed="false">
      <c r="A10" s="61" t="s">
        <v>142</v>
      </c>
      <c r="B10" s="54" t="n">
        <f aca="false">COUNTIF(Cronograma!$B$5:$B$27,A10)</f>
        <v>2</v>
      </c>
      <c r="C10" s="54" t="n">
        <f aca="false">SUMIF(Cronograma!$B$5:$B$27,A10,Cronograma!$T$5:$T$27)</f>
        <v>2</v>
      </c>
      <c r="D10" s="54" t="n">
        <f aca="false">SUMIF(Cronograma!$B$5:$B$27,A10,Cronograma!$U$5:$U$27)</f>
        <v>0</v>
      </c>
      <c r="E10" s="55" t="n">
        <f aca="false">IF(C10=0,"-",D10/C10)</f>
        <v>0</v>
      </c>
    </row>
    <row r="11" customFormat="false" ht="15" hidden="false" customHeight="false" outlineLevel="0" collapsed="false">
      <c r="A11" s="62" t="s">
        <v>309</v>
      </c>
      <c r="B11" s="63" t="n">
        <f aca="false">SUM(B4:B10)</f>
        <v>23</v>
      </c>
      <c r="C11" s="63" t="n">
        <f aca="false">SUM(C4:C10)</f>
        <v>126</v>
      </c>
      <c r="D11" s="63" t="n">
        <f aca="false">SUM(D4:D10)</f>
        <v>3</v>
      </c>
      <c r="E11" s="64" t="n">
        <f aca="false">IF(C11=0,"-",D11/C11)</f>
        <v>0.0238095238095238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44"/>
  </cols>
  <sheetData>
    <row r="1" customFormat="false" ht="16.15" hidden="false" customHeight="false" outlineLevel="0" collapsed="false">
      <c r="A1" s="65" t="s">
        <v>310</v>
      </c>
    </row>
    <row r="3" customFormat="false" ht="15" hidden="false" customHeight="false" outlineLevel="0" collapsed="false">
      <c r="A3" s="66" t="s">
        <v>311</v>
      </c>
      <c r="B3" s="67"/>
      <c r="C3" s="67"/>
      <c r="D3" s="67"/>
    </row>
    <row r="4" customFormat="false" ht="15" hidden="false" customHeight="false" outlineLevel="0" collapsed="false">
      <c r="A4" s="66" t="s">
        <v>312</v>
      </c>
      <c r="B4" s="67"/>
      <c r="C4" s="67"/>
      <c r="D4" s="67"/>
    </row>
    <row r="5" customFormat="false" ht="15" hidden="false" customHeight="false" outlineLevel="0" collapsed="false">
      <c r="A5" s="66" t="s">
        <v>313</v>
      </c>
      <c r="B5" s="67"/>
      <c r="C5" s="67"/>
      <c r="D5" s="67"/>
    </row>
    <row r="6" customFormat="false" ht="15" hidden="false" customHeight="false" outlineLevel="0" collapsed="false">
      <c r="A6" s="66" t="s">
        <v>314</v>
      </c>
      <c r="B6" s="67"/>
      <c r="C6" s="67"/>
      <c r="D6" s="67"/>
    </row>
    <row r="8" customFormat="false" ht="15" hidden="false" customHeight="false" outlineLevel="0" collapsed="false">
      <c r="A8" s="68" t="s">
        <v>28</v>
      </c>
      <c r="B8" s="68" t="s">
        <v>315</v>
      </c>
      <c r="C8" s="68" t="s">
        <v>316</v>
      </c>
      <c r="D8" s="68" t="s">
        <v>317</v>
      </c>
    </row>
    <row r="9" customFormat="false" ht="25.5" hidden="false" customHeight="true" outlineLevel="0" collapsed="false">
      <c r="A9" s="54" t="n">
        <v>1</v>
      </c>
      <c r="B9" s="69"/>
      <c r="C9" s="69"/>
      <c r="D9" s="69"/>
    </row>
    <row r="10" customFormat="false" ht="25.5" hidden="false" customHeight="true" outlineLevel="0" collapsed="false">
      <c r="A10" s="54" t="n">
        <v>2</v>
      </c>
      <c r="B10" s="69"/>
      <c r="C10" s="69"/>
      <c r="D10" s="69"/>
    </row>
    <row r="11" customFormat="false" ht="25.5" hidden="false" customHeight="true" outlineLevel="0" collapsed="false">
      <c r="A11" s="54" t="n">
        <v>3</v>
      </c>
      <c r="B11" s="69"/>
      <c r="C11" s="69"/>
      <c r="D11" s="69"/>
    </row>
    <row r="12" customFormat="false" ht="25.5" hidden="false" customHeight="true" outlineLevel="0" collapsed="false">
      <c r="A12" s="54" t="n">
        <v>4</v>
      </c>
      <c r="B12" s="69"/>
      <c r="C12" s="69"/>
      <c r="D12" s="69"/>
    </row>
    <row r="13" customFormat="false" ht="25.5" hidden="false" customHeight="true" outlineLevel="0" collapsed="false">
      <c r="A13" s="54" t="n">
        <v>5</v>
      </c>
      <c r="B13" s="69"/>
      <c r="C13" s="69"/>
      <c r="D13" s="69"/>
    </row>
    <row r="14" customFormat="false" ht="25.5" hidden="false" customHeight="true" outlineLevel="0" collapsed="false">
      <c r="A14" s="54" t="n">
        <v>6</v>
      </c>
      <c r="B14" s="69"/>
      <c r="C14" s="69"/>
      <c r="D14" s="69"/>
    </row>
    <row r="15" customFormat="false" ht="25.5" hidden="false" customHeight="true" outlineLevel="0" collapsed="false">
      <c r="A15" s="54" t="n">
        <v>7</v>
      </c>
      <c r="B15" s="69"/>
      <c r="C15" s="69"/>
      <c r="D15" s="69"/>
    </row>
    <row r="16" customFormat="false" ht="25.5" hidden="false" customHeight="true" outlineLevel="0" collapsed="false">
      <c r="A16" s="54" t="n">
        <v>8</v>
      </c>
      <c r="B16" s="69"/>
      <c r="C16" s="69"/>
      <c r="D16" s="69"/>
    </row>
    <row r="17" customFormat="false" ht="25.5" hidden="false" customHeight="true" outlineLevel="0" collapsed="false">
      <c r="A17" s="54" t="n">
        <v>9</v>
      </c>
      <c r="B17" s="69"/>
      <c r="C17" s="69"/>
      <c r="D17" s="69"/>
    </row>
    <row r="18" customFormat="false" ht="25.5" hidden="false" customHeight="true" outlineLevel="0" collapsed="false">
      <c r="A18" s="54" t="n">
        <v>10</v>
      </c>
      <c r="B18" s="69"/>
      <c r="C18" s="69"/>
      <c r="D18" s="69"/>
    </row>
    <row r="19" customFormat="false" ht="25.5" hidden="false" customHeight="true" outlineLevel="0" collapsed="false">
      <c r="A19" s="54" t="n">
        <v>11</v>
      </c>
      <c r="B19" s="69"/>
      <c r="C19" s="69"/>
      <c r="D19" s="69"/>
    </row>
    <row r="20" customFormat="false" ht="25.5" hidden="false" customHeight="true" outlineLevel="0" collapsed="false">
      <c r="A20" s="54" t="n">
        <v>12</v>
      </c>
      <c r="B20" s="69"/>
      <c r="C20" s="69"/>
      <c r="D20" s="69"/>
    </row>
    <row r="21" customFormat="false" ht="25.5" hidden="false" customHeight="true" outlineLevel="0" collapsed="false">
      <c r="A21" s="54" t="n">
        <v>13</v>
      </c>
      <c r="B21" s="69"/>
      <c r="C21" s="69"/>
      <c r="D21" s="69"/>
    </row>
    <row r="22" customFormat="false" ht="25.5" hidden="false" customHeight="true" outlineLevel="0" collapsed="false">
      <c r="A22" s="54" t="n">
        <v>14</v>
      </c>
      <c r="B22" s="69"/>
      <c r="C22" s="69"/>
      <c r="D22" s="69"/>
    </row>
    <row r="23" customFormat="false" ht="25.5" hidden="false" customHeight="true" outlineLevel="0" collapsed="false">
      <c r="A23" s="54" t="n">
        <v>15</v>
      </c>
      <c r="B23" s="69"/>
      <c r="C23" s="69"/>
      <c r="D23" s="69"/>
    </row>
    <row r="24" customFormat="false" ht="25.5" hidden="false" customHeight="true" outlineLevel="0" collapsed="false">
      <c r="A24" s="54" t="n">
        <v>16</v>
      </c>
      <c r="B24" s="69"/>
      <c r="C24" s="69"/>
      <c r="D24" s="69"/>
    </row>
    <row r="25" customFormat="false" ht="25.5" hidden="false" customHeight="true" outlineLevel="0" collapsed="false">
      <c r="A25" s="54" t="n">
        <v>17</v>
      </c>
      <c r="B25" s="69"/>
      <c r="C25" s="69"/>
      <c r="D25" s="69"/>
    </row>
    <row r="26" customFormat="false" ht="25.5" hidden="false" customHeight="true" outlineLevel="0" collapsed="false">
      <c r="A26" s="54" t="n">
        <v>18</v>
      </c>
      <c r="B26" s="69"/>
      <c r="C26" s="69"/>
      <c r="D26" s="69"/>
    </row>
    <row r="27" customFormat="false" ht="25.5" hidden="false" customHeight="true" outlineLevel="0" collapsed="false">
      <c r="A27" s="54" t="n">
        <v>19</v>
      </c>
      <c r="B27" s="69"/>
      <c r="C27" s="69"/>
      <c r="D27" s="69"/>
    </row>
    <row r="28" customFormat="false" ht="25.5" hidden="false" customHeight="true" outlineLevel="0" collapsed="false">
      <c r="A28" s="54" t="n">
        <v>20</v>
      </c>
      <c r="B28" s="69"/>
      <c r="C28" s="69"/>
      <c r="D28" s="69"/>
    </row>
    <row r="29" customFormat="false" ht="25.5" hidden="false" customHeight="true" outlineLevel="0" collapsed="false">
      <c r="A29" s="54" t="n">
        <v>21</v>
      </c>
      <c r="B29" s="69"/>
      <c r="C29" s="69"/>
      <c r="D29" s="69"/>
    </row>
    <row r="30" customFormat="false" ht="25.5" hidden="false" customHeight="true" outlineLevel="0" collapsed="false">
      <c r="A30" s="54" t="n">
        <v>22</v>
      </c>
      <c r="B30" s="69"/>
      <c r="C30" s="69"/>
      <c r="D30" s="69"/>
    </row>
    <row r="31" customFormat="false" ht="25.5" hidden="false" customHeight="true" outlineLevel="0" collapsed="false">
      <c r="A31" s="54" t="n">
        <v>23</v>
      </c>
      <c r="B31" s="69"/>
      <c r="C31" s="69"/>
      <c r="D31" s="69"/>
    </row>
    <row r="32" customFormat="false" ht="25.5" hidden="false" customHeight="true" outlineLevel="0" collapsed="false">
      <c r="A32" s="54" t="n">
        <v>24</v>
      </c>
      <c r="B32" s="69"/>
      <c r="C32" s="69"/>
      <c r="D32" s="69"/>
    </row>
    <row r="33" customFormat="false" ht="25.5" hidden="false" customHeight="true" outlineLevel="0" collapsed="false">
      <c r="A33" s="54" t="n">
        <v>25</v>
      </c>
      <c r="B33" s="69"/>
      <c r="C33" s="69"/>
      <c r="D33" s="69"/>
    </row>
  </sheetData>
  <mergeCells count="4">
    <mergeCell ref="B3:D3"/>
    <mergeCell ref="B4:D4"/>
    <mergeCell ref="B5:D5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2026-10-21T15:26:54Z</dcterms:created>
  <dc:creator>openpyxl</dc:creator>
  <dc:description/>
  <dc:language>en-US</dc:language>
  <cp:lastModifiedBy/>
  <dcterms:modified xsi:type="dcterms:W3CDTF">2026-10-21T15:26:54Z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